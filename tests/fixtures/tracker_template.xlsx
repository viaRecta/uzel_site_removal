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ient Profil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Lists" sheetId="5" state="visible" r:id="rId5"/>
  </sheets>
  <definedNames>
    <definedName name="_xlnm._FilterDatabase" localSheetId="3" hidden="1">'Findings'!$A$1:$AB$1000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2"/>
      <color theme="1"/>
      <sz val="11"/>
    </font>
    <font>
      <name val="Arial"/>
      <charset val="1"/>
      <b val="1"/>
      <color rgb="FF1F3A5F"/>
      <sz val="16"/>
    </font>
    <font>
      <name val="Arial"/>
      <charset val="1"/>
      <sz val="11"/>
    </font>
    <font>
      <name val="Arial"/>
      <charset val="1"/>
      <b val="1"/>
      <color rgb="FF1F3A5F"/>
      <sz val="11"/>
    </font>
    <font>
      <name val="Arial"/>
      <charset val="1"/>
      <i val="1"/>
      <sz val="11"/>
    </font>
    <font>
      <name val="Arial"/>
      <charset val="1"/>
      <b val="1"/>
      <color rgb="FF1F3A5F"/>
      <sz val="14"/>
    </font>
    <font>
      <name val="Arial"/>
      <charset val="1"/>
      <i val="1"/>
      <color rgb="FF666666"/>
      <sz val="11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color rgb="FF0000FF"/>
      <sz val="11"/>
    </font>
    <font>
      <name val="Arial"/>
      <family val="2"/>
      <sz val="10"/>
    </font>
    <font>
      <name val="Arial"/>
      <charset val="1"/>
      <sz val="10"/>
    </font>
    <font>
      <name val="Arial"/>
      <charset val="1"/>
      <i val="1"/>
      <color rgb="FF9C0006"/>
      <sz val="10"/>
    </font>
    <font>
      <name val="Arial"/>
      <family val="2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2CC"/>
      </patternFill>
    </fill>
    <fill>
      <patternFill patternType="solid">
        <fgColor rgb="FFEEF2F7"/>
        <bgColor rgb="FFDDEBF7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wrapText="1"/>
    </xf>
    <xf numFmtId="0" fontId="4" fillId="0" borderId="0" pivotButton="0" quotePrefix="0" xfId="0"/>
    <xf numFmtId="0" fontId="9" fillId="3" borderId="0" pivotButton="0" quotePrefix="0" xfId="0"/>
    <xf numFmtId="0" fontId="2" fillId="0" borderId="1" pivotButton="0" quotePrefix="0" xfId="0"/>
    <xf numFmtId="9" fontId="2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top"/>
    </xf>
    <xf numFmtId="164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2" fillId="0" borderId="0" pivotButton="0" quotePrefix="0" xfId="0"/>
    <xf numFmtId="0" fontId="13" fillId="3" borderId="1" applyAlignment="1" pivotButton="0" quotePrefix="0" xfId="0">
      <alignment wrapText="1"/>
    </xf>
  </cellXfs>
  <cellStyles count="1">
    <cellStyle name="Normal" xfId="0" builtinId="0"/>
  </cellStyles>
  <dxfs count="13">
    <dxf>
      <fill>
        <patternFill>
          <bgColor rgb="FFE7E6E6"/>
        </patternFill>
      </fill>
    </dxf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ont>
        <b val="1"/>
      </font>
      <fill>
        <patternFill>
          <bgColor rgb="FFFF7C80"/>
        </patternFill>
      </fill>
    </dxf>
    <dxf>
      <font>
        <b val="1"/>
        <color rgb="FF000000"/>
      </font>
      <fill>
        <patternFill>
          <bgColor rgb="FFC6EFCE"/>
        </patternFill>
      </fill>
    </dxf>
    <dxf>
      <font>
        <b val="1"/>
        <color rgb="FF000000"/>
      </font>
      <fill>
        <patternFill>
          <bgColor rgb="FFFFE699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i val="1"/>
        <color rgb="FFA6A6A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9DB"/>
      <rgbColor rgb="FFDDEBF7"/>
      <rgbColor rgb="FF660066"/>
      <rgbColor rgb="FFFF7C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E699"/>
      <rgbColor rgb="FFFFF2CC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Input: days to wait before chasing a removal request. Many sites answer within 30 days; KVKK gives controllers 30 days to respond.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Auto-numbered when Site Link is filled.</t>
      </text>
    </comment>
    <comment ref="H1" authorId="0" shapeId="0">
      <text>
        <t>Only 'Confirmed' and 'Likely' rows count toward removal stats. Always have a human verify.</t>
      </text>
    </comment>
    <comment ref="K1" authorId="0" shapeId="0">
      <text>
        <t>e.g. Full name, Address, Phone, Email, DOB, Photo, Employer, Relatives, ID number</t>
      </text>
    </comment>
    <comment ref="L1" authorId="0" shapeId="0">
      <text>
        <t>Where on the page the client appears, e.g. title, body, comments, image caption, meta description</t>
      </text>
    </comment>
    <comment ref="N1" authorId="0" shapeId="0">
      <text>
        <t>Position in Google results for the client's main name query (1 = top). Leave blank if not in top 100.</t>
      </text>
    </comment>
    <comment ref="Q1" authorId="0" shapeId="0">
      <text>
        <t>Critical: ID numbers, home address + photo, doxxing. High: address/phone/DOB. Medium: employer, photos, old posts. Low: name-only mention.</t>
      </text>
    </comment>
    <comment ref="W1" authorId="0" shapeId="0">
      <text>
        <t>Auto: Request Sent Date + follow-up days set on the Summary sheet.</t>
      </text>
    </comment>
    <comment ref="X1" authorId="0" shapeId="0">
      <text>
        <t>Auto: blank once Status is Removed / Deindexed only / No action needed.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zoomScaleNormal="100" workbookViewId="0">
      <selection activeCell="A1" sqref="A1"/>
    </sheetView>
  </sheetViews>
  <sheetFormatPr baseColWidth="8" defaultColWidth="8.7109375" defaultRowHeight="15"/>
  <cols>
    <col width="110" customWidth="1" min="1" max="1"/>
  </cols>
  <sheetData>
    <row r="1" ht="20.25" customHeight="1">
      <c r="A1" s="1" t="inlineStr">
        <is>
          <t>Digital Footprint Removal Tracker</t>
        </is>
      </c>
    </row>
    <row r="2">
      <c r="A2" s="2" t="n"/>
    </row>
    <row r="3">
      <c r="A3" s="3" t="inlineStr">
        <is>
          <t>LEGEND</t>
        </is>
      </c>
    </row>
    <row r="4">
      <c r="A4" s="2" t="inlineStr">
        <is>
          <t>Yellow cells with blue text = inputs you fill in (Client Profile, Summary follow-up days).</t>
        </is>
      </c>
    </row>
    <row r="5">
      <c r="A5" s="2" t="inlineStr">
        <is>
          <t>Grey-blue cells on Findings = formulas (ID, Follow-up Due, Days Since Request). Do not type over them.</t>
        </is>
      </c>
    </row>
    <row r="6">
      <c r="A6" s="2" t="inlineStr">
        <is>
          <t>White cells on Findings = one row per URL found. Dropdown columns pull options from the Lists sheet.</t>
        </is>
      </c>
    </row>
    <row r="7">
      <c r="A7" s="2" t="inlineStr">
        <is>
          <t>Red Follow-up Due = request is overdue for a chase. Grey italic rows = namesakes (not your client).</t>
        </is>
      </c>
    </row>
    <row r="8">
      <c r="A8" s="2" t="n"/>
    </row>
    <row r="9">
      <c r="A9" s="3" t="inlineStr">
        <is>
          <t>WORKFLOW</t>
        </is>
      </c>
    </row>
    <row r="10">
      <c r="A10" s="2" t="inlineStr">
        <is>
          <t>1. Get the signed authorization first and record it on Client Profile.</t>
        </is>
      </c>
    </row>
    <row r="11">
      <c r="A11" s="2" t="inlineStr">
        <is>
          <t>2. Fill in Client Profile identifiers; these drive the search queries.</t>
        </is>
      </c>
    </row>
    <row r="12" ht="29.25" customHeight="1">
      <c r="A12" s="2" t="inlineStr">
        <is>
          <t>3. Run the scanner (or search manually) and paste / import results into Findings, starting at row 2 (overwrite the example row).</t>
        </is>
      </c>
    </row>
    <row r="13" ht="29.25" customHeight="1">
      <c r="A13" s="2" t="inlineStr">
        <is>
          <t>4. Review every row: set Match Confidence by hand. Never file a removal request for an Unverified or Namesake row.</t>
        </is>
      </c>
    </row>
    <row r="14">
      <c r="A14" s="2" t="inlineStr">
        <is>
          <t>5. Set Severity and Removal Method, send requests, log the date and reference number.</t>
        </is>
      </c>
    </row>
    <row r="15" ht="29.25" customHeight="1">
      <c r="A15" s="2" t="inlineStr">
        <is>
          <t>6. Re-check on the re-scan schedule; update Last Checked and Status. Mark anything that comes back as Re-appeared.</t>
        </is>
      </c>
    </row>
    <row r="16">
      <c r="A16" s="2" t="n"/>
    </row>
    <row r="17">
      <c r="A17" s="3" t="inlineStr">
        <is>
          <t>SEVERITY GUIDE</t>
        </is>
      </c>
    </row>
    <row r="18">
      <c r="A18" s="2" t="inlineStr">
        <is>
          <t>Critical: government ID numbers, financial data, home address with photo, doxxing or threats.</t>
        </is>
      </c>
    </row>
    <row r="19">
      <c r="A19" s="2" t="inlineStr">
        <is>
          <t>High: current address, phone, date of birth, personal email, data-broker profiles.</t>
        </is>
      </c>
    </row>
    <row r="20">
      <c r="A20" s="2" t="inlineStr">
        <is>
          <t>Medium: employer, photos, relatives' names, old social posts, forum activity.</t>
        </is>
      </c>
    </row>
    <row r="21">
      <c r="A21" s="2" t="inlineStr">
        <is>
          <t>Low: name-only mentions, outdated or low-visibility pages.</t>
        </is>
      </c>
    </row>
    <row r="22">
      <c r="A22" s="2" t="n"/>
    </row>
    <row r="23">
      <c r="A23" s="3" t="inlineStr">
        <is>
          <t>NOTE</t>
        </is>
      </c>
    </row>
    <row r="24" ht="29.25" customHeight="1">
      <c r="A24" s="4" t="inlineStr">
        <is>
          <t>Removal methods referencing KVKK, GDPR and Law 5651 are general categories, not legal advice. Have a lawyer review legal requests and court applications.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topLeftCell="A4" zoomScaleNormal="100" workbookViewId="0">
      <selection activeCell="B27" sqref="B27"/>
    </sheetView>
  </sheetViews>
  <sheetFormatPr baseColWidth="8" defaultColWidth="8.7109375" defaultRowHeight="15"/>
  <cols>
    <col width="34" customWidth="1" min="1" max="1"/>
    <col width="60" customWidth="1" min="2" max="2"/>
  </cols>
  <sheetData>
    <row r="1" ht="18" customHeight="1">
      <c r="A1" s="5" t="inlineStr">
        <is>
          <t>Client Profile &amp; Search Identifiers</t>
        </is>
      </c>
    </row>
    <row r="2">
      <c r="A2" s="6" t="inlineStr">
        <is>
          <t>Everything the search script and you will look for. Fill in the yellow cells; separate multiple values with semicolons.</t>
        </is>
      </c>
    </row>
    <row r="3"/>
    <row r="4">
      <c r="A4" s="7" t="inlineStr">
        <is>
          <t>CLIENT</t>
        </is>
      </c>
      <c r="B4" s="8" t="n"/>
    </row>
    <row r="5">
      <c r="A5" s="9" t="inlineStr">
        <is>
          <t>Client ID / Case #</t>
        </is>
      </c>
      <c r="B5" s="10" t="inlineStr">
        <is>
          <t>CASE-2026-001</t>
        </is>
      </c>
    </row>
    <row r="6">
      <c r="A6" s="9" t="inlineStr">
        <is>
          <t>Full legal name</t>
        </is>
      </c>
      <c r="B6" s="23" t="inlineStr">
        <is>
          <t>Ahmet Yılmaz</t>
        </is>
      </c>
    </row>
    <row r="7" ht="29.25" customHeight="1">
      <c r="A7" s="9" t="inlineStr">
        <is>
          <t>Name variants &amp; spellings</t>
        </is>
      </c>
      <c r="B7" s="23" t="inlineStr">
        <is>
          <t>Ahmet Yilmaz; A. Yılmaz; Ahmet Kemal Yılmaz</t>
        </is>
      </c>
    </row>
    <row r="8">
      <c r="A8" s="9" t="inlineStr">
        <is>
          <t>Date of birth (for match verification)</t>
        </is>
      </c>
      <c r="B8" s="10" t="n"/>
    </row>
    <row r="9">
      <c r="A9" s="9" t="inlineStr">
        <is>
          <t>Current &amp; past cities</t>
        </is>
      </c>
      <c r="B9" s="23" t="inlineStr">
        <is>
          <t>İstanbul; Ankara</t>
        </is>
      </c>
    </row>
    <row r="10">
      <c r="A10" s="9" t="inlineStr">
        <is>
          <t>Current &amp; past addresses</t>
        </is>
      </c>
      <c r="B10" s="10" t="n"/>
    </row>
    <row r="11">
      <c r="A11" s="9" t="inlineStr">
        <is>
          <t>Phone numbers</t>
        </is>
      </c>
      <c r="B11" s="10" t="inlineStr">
        <is>
          <t>+90 5xx xxx xx xx</t>
        </is>
      </c>
    </row>
    <row r="12">
      <c r="A12" s="9" t="inlineStr">
        <is>
          <t>Email addresses</t>
        </is>
      </c>
      <c r="B12" s="10" t="n"/>
    </row>
    <row r="13">
      <c r="A13" s="9" t="inlineStr">
        <is>
          <t>Usernames / handles</t>
        </is>
      </c>
      <c r="B13" s="10" t="n"/>
    </row>
    <row r="14">
      <c r="A14" s="9" t="inlineStr">
        <is>
          <t>Employers (current &amp; past)</t>
        </is>
      </c>
      <c r="B14" s="23" t="n"/>
    </row>
    <row r="15">
      <c r="A15" s="9" t="inlineStr">
        <is>
          <t>Schools</t>
        </is>
      </c>
      <c r="B15" s="10" t="n"/>
    </row>
    <row r="16">
      <c r="A16" s="9" t="inlineStr">
        <is>
          <t>Known relatives' names (for broker matching)</t>
        </is>
      </c>
      <c r="B16" s="10" t="n"/>
    </row>
    <row r="17">
      <c r="A17" s="9" t="inlineStr">
        <is>
          <t>Photos provided for reverse image search? (path)</t>
        </is>
      </c>
      <c r="B17" s="10" t="n"/>
    </row>
    <row r="18">
      <c r="A18" s="7" t="inlineStr">
        <is>
          <t>ENGAGEMENT</t>
        </is>
      </c>
      <c r="B18" s="8" t="n"/>
    </row>
    <row r="19">
      <c r="A19" s="9" t="inlineStr">
        <is>
          <t>Signed authorization received?</t>
        </is>
      </c>
      <c r="B19" s="23" t="inlineStr">
        <is>
          <t>No</t>
        </is>
      </c>
    </row>
    <row r="20">
      <c r="A20" s="9" t="inlineStr">
        <is>
          <t>Authorization date</t>
        </is>
      </c>
      <c r="B20" s="23" t="n"/>
    </row>
    <row r="21">
      <c r="A21" s="9" t="inlineStr">
        <is>
          <t>Scope agreed (what to remove / keep)</t>
        </is>
      </c>
      <c r="B21" s="10" t="n"/>
    </row>
    <row r="22">
      <c r="A22" s="9" t="inlineStr">
        <is>
          <t>Accounts client wants to KEEP</t>
        </is>
      </c>
      <c r="B22" s="10" t="n"/>
    </row>
    <row r="23">
      <c r="A23" s="9" t="inlineStr">
        <is>
          <t>Engagement start date</t>
        </is>
      </c>
      <c r="B23" s="10" t="n"/>
    </row>
    <row r="24">
      <c r="A24" s="9" t="inlineStr">
        <is>
          <t>Removal goal / end date</t>
        </is>
      </c>
      <c r="B24" s="10" t="n"/>
    </row>
    <row r="25">
      <c r="A25" s="9" t="inlineStr">
        <is>
          <t>Re-scan frequency</t>
        </is>
      </c>
      <c r="B25" s="10" t="inlineStr">
        <is>
          <t>Monthly</t>
        </is>
      </c>
    </row>
    <row r="26">
      <c r="A26" s="9" t="inlineStr">
        <is>
          <t>Next re-scan date</t>
        </is>
      </c>
      <c r="B26" s="10" t="n"/>
    </row>
    <row r="27">
      <c r="A27" s="9" t="inlineStr">
        <is>
          <t>Data retention: delete client data on</t>
        </is>
      </c>
      <c r="B27" s="10" t="n"/>
    </row>
  </sheetData>
  <dataValidations count="1">
    <dataValidation sqref="B19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57"/>
  <sheetViews>
    <sheetView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8" customWidth="1" min="2" max="2"/>
    <col width="14" customWidth="1" min="3" max="4"/>
  </cols>
  <sheetData>
    <row r="1" ht="18" customHeight="1">
      <c r="B1" s="5" t="inlineStr">
        <is>
          <t>Footprint Removal Summary</t>
        </is>
      </c>
    </row>
    <row r="2">
      <c r="B2" s="11">
        <f>'Client Profile'!B6&amp;"  |  "&amp;'Client Profile'!B5</f>
        <v/>
      </c>
    </row>
    <row r="4">
      <c r="B4" s="9" t="inlineStr">
        <is>
          <t>Follow-up days after request</t>
        </is>
      </c>
      <c r="C4" s="12" t="n">
        <v>30</v>
      </c>
    </row>
    <row r="6">
      <c r="B6" s="7" t="inlineStr">
        <is>
          <t>Overview</t>
        </is>
      </c>
      <c r="C6" s="7" t="inlineStr">
        <is>
          <t>Count</t>
        </is>
      </c>
      <c r="D6" s="7" t="inlineStr">
        <is>
          <t>% of relevant</t>
        </is>
      </c>
    </row>
    <row r="7">
      <c r="B7" s="13" t="inlineStr">
        <is>
          <t>Total rows found</t>
        </is>
      </c>
      <c r="C7" s="13">
        <f>COUNTIF(Findings!$C$2:$C$1000,"?*")</f>
        <v/>
      </c>
    </row>
    <row r="8">
      <c r="B8" s="13" t="inlineStr">
        <is>
          <t>Relevant (Confirmed + Likely)</t>
        </is>
      </c>
      <c r="C8" s="13">
        <f>COUNTIF(Findings!$H$2:$H$1000,"Confirmed")+COUNTIF(Findings!$H$2:$H$1000,"Likely")</f>
        <v/>
      </c>
    </row>
    <row r="9">
      <c r="B9" s="13" t="inlineStr">
        <is>
          <t>Namesakes excluded</t>
        </is>
      </c>
      <c r="C9" s="13">
        <f>COUNTIF(Findings!$H$2:$H$1000,"Namesake (not client)")</f>
        <v/>
      </c>
    </row>
    <row r="10">
      <c r="B10" s="13" t="inlineStr">
        <is>
          <t>Unverified (needs review)</t>
        </is>
      </c>
      <c r="C10" s="13">
        <f>COUNTIF(Findings!$H$2:$H$1000,"Unverified")</f>
        <v/>
      </c>
    </row>
    <row r="11">
      <c r="B11" s="13" t="inlineStr">
        <is>
          <t>Removed or deindexed</t>
        </is>
      </c>
      <c r="C11" s="13">
        <f>SUMPRODUCT(((Findings!$H$2:$H$1000="Confirmed")+(Findings!$H$2:$H$1000="Likely"))*((Findings!$Y$2:$Y$1000="Removed")+(Findings!$Y$2:$Y$1000="Deindexed only")))</f>
        <v/>
      </c>
      <c r="D11" s="14">
        <f>IFERROR(C11/$C$8,0)</f>
        <v/>
      </c>
    </row>
    <row r="12">
      <c r="B12" s="13" t="inlineStr">
        <is>
          <t>Overdue follow-ups</t>
        </is>
      </c>
      <c r="C12" s="13">
        <f>SUMPRODUCT((Findings!$W$2:$W$1000&lt;&gt;"")*(Findings!$X$2:$X$1000&lt;&gt;"")*(Findings!$X$2:$X$1000&gt;=$C$4))</f>
        <v/>
      </c>
    </row>
    <row r="14">
      <c r="B14" s="7" t="inlineStr">
        <is>
          <t>By Severity (relevant only)</t>
        </is>
      </c>
      <c r="C14" s="7" t="inlineStr">
        <is>
          <t>Count</t>
        </is>
      </c>
      <c r="D14" s="7" t="inlineStr">
        <is>
          <t>% of relevant</t>
        </is>
      </c>
    </row>
    <row r="15">
      <c r="B15" s="13" t="inlineStr">
        <is>
          <t>Critical</t>
        </is>
      </c>
      <c r="C15" s="13">
        <f>SUMPRODUCT(((Findings!$H$2:$H$1000="Confirmed")+(Findings!$H$2:$H$1000="Likely"))*(Findings!$Q$2:$Q$1000=B15))</f>
        <v/>
      </c>
      <c r="D15" s="14">
        <f>IFERROR(C15/$C$8,0)</f>
        <v/>
      </c>
    </row>
    <row r="16">
      <c r="B16" s="13" t="inlineStr">
        <is>
          <t>High</t>
        </is>
      </c>
      <c r="C16" s="13">
        <f>SUMPRODUCT(((Findings!$H$2:$H$1000="Confirmed")+(Findings!$H$2:$H$1000="Likely"))*(Findings!$Q$2:$Q$1000=B16))</f>
        <v/>
      </c>
      <c r="D16" s="14">
        <f>IFERROR(C16/$C$8,0)</f>
        <v/>
      </c>
    </row>
    <row r="17">
      <c r="B17" s="13" t="inlineStr">
        <is>
          <t>Medium</t>
        </is>
      </c>
      <c r="C17" s="13">
        <f>SUMPRODUCT(((Findings!$H$2:$H$1000="Confirmed")+(Findings!$H$2:$H$1000="Likely"))*(Findings!$Q$2:$Q$1000=B17))</f>
        <v/>
      </c>
      <c r="D17" s="14">
        <f>IFERROR(C17/$C$8,0)</f>
        <v/>
      </c>
    </row>
    <row r="18">
      <c r="B18" s="13" t="inlineStr">
        <is>
          <t>Low</t>
        </is>
      </c>
      <c r="C18" s="13">
        <f>SUMPRODUCT(((Findings!$H$2:$H$1000="Confirmed")+(Findings!$H$2:$H$1000="Likely"))*(Findings!$Q$2:$Q$1000=B18))</f>
        <v/>
      </c>
      <c r="D18" s="14">
        <f>IFERROR(C18/$C$8,0)</f>
        <v/>
      </c>
    </row>
    <row r="20">
      <c r="B20" s="7" t="inlineStr">
        <is>
          <t>By Status (relevant only)</t>
        </is>
      </c>
      <c r="C20" s="7" t="inlineStr">
        <is>
          <t>Count</t>
        </is>
      </c>
      <c r="D20" s="7" t="inlineStr">
        <is>
          <t>% of relevant</t>
        </is>
      </c>
    </row>
    <row r="21">
      <c r="B21" s="13" t="inlineStr">
        <is>
          <t>Not started</t>
        </is>
      </c>
      <c r="C21" s="13">
        <f>SUMPRODUCT(((Findings!$H$2:$H$1000="Confirmed")+(Findings!$H$2:$H$1000="Likely"))*(Findings!$Y$2:$Y$1000=B21))</f>
        <v/>
      </c>
      <c r="D21" s="14">
        <f>IFERROR(C21/$C$8,0)</f>
        <v/>
      </c>
    </row>
    <row r="22">
      <c r="B22" s="13" t="inlineStr">
        <is>
          <t>Awaiting client input</t>
        </is>
      </c>
      <c r="C22" s="13">
        <f>SUMPRODUCT(((Findings!$H$2:$H$1000="Confirmed")+(Findings!$H$2:$H$1000="Likely"))*(Findings!$Y$2:$Y$1000=B22))</f>
        <v/>
      </c>
      <c r="D22" s="14">
        <f>IFERROR(C22/$C$8,0)</f>
        <v/>
      </c>
    </row>
    <row r="23">
      <c r="B23" s="13" t="inlineStr">
        <is>
          <t>Requested</t>
        </is>
      </c>
      <c r="C23" s="13">
        <f>SUMPRODUCT(((Findings!$H$2:$H$1000="Confirmed")+(Findings!$H$2:$H$1000="Likely"))*(Findings!$Y$2:$Y$1000=B23))</f>
        <v/>
      </c>
      <c r="D23" s="14">
        <f>IFERROR(C23/$C$8,0)</f>
        <v/>
      </c>
    </row>
    <row r="24">
      <c r="B24" s="13" t="inlineStr">
        <is>
          <t>Pending / in review</t>
        </is>
      </c>
      <c r="C24" s="13">
        <f>SUMPRODUCT(((Findings!$H$2:$H$1000="Confirmed")+(Findings!$H$2:$H$1000="Likely"))*(Findings!$Y$2:$Y$1000=B24))</f>
        <v/>
      </c>
      <c r="D24" s="14">
        <f>IFERROR(C24/$C$8,0)</f>
        <v/>
      </c>
    </row>
    <row r="25">
      <c r="B25" s="13" t="inlineStr">
        <is>
          <t>Removed</t>
        </is>
      </c>
      <c r="C25" s="13">
        <f>SUMPRODUCT(((Findings!$H$2:$H$1000="Confirmed")+(Findings!$H$2:$H$1000="Likely"))*(Findings!$Y$2:$Y$1000=B25))</f>
        <v/>
      </c>
      <c r="D25" s="14">
        <f>IFERROR(C25/$C$8,0)</f>
        <v/>
      </c>
    </row>
    <row r="26">
      <c r="B26" s="13" t="inlineStr">
        <is>
          <t>Deindexed only</t>
        </is>
      </c>
      <c r="C26" s="13">
        <f>SUMPRODUCT(((Findings!$H$2:$H$1000="Confirmed")+(Findings!$H$2:$H$1000="Likely"))*(Findings!$Y$2:$Y$1000=B26))</f>
        <v/>
      </c>
      <c r="D26" s="14">
        <f>IFERROR(C26/$C$8,0)</f>
        <v/>
      </c>
    </row>
    <row r="27">
      <c r="B27" s="13" t="inlineStr">
        <is>
          <t>Refused</t>
        </is>
      </c>
      <c r="C27" s="13">
        <f>SUMPRODUCT(((Findings!$H$2:$H$1000="Confirmed")+(Findings!$H$2:$H$1000="Likely"))*(Findings!$Y$2:$Y$1000=B27))</f>
        <v/>
      </c>
      <c r="D27" s="14">
        <f>IFERROR(C27/$C$8,0)</f>
        <v/>
      </c>
    </row>
    <row r="28">
      <c r="B28" s="13" t="inlineStr">
        <is>
          <t>Re-appeared</t>
        </is>
      </c>
      <c r="C28" s="13">
        <f>SUMPRODUCT(((Findings!$H$2:$H$1000="Confirmed")+(Findings!$H$2:$H$1000="Likely"))*(Findings!$Y$2:$Y$1000=B28))</f>
        <v/>
      </c>
      <c r="D28" s="14">
        <f>IFERROR(C28/$C$8,0)</f>
        <v/>
      </c>
    </row>
    <row r="29">
      <c r="B29" s="13" t="inlineStr">
        <is>
          <t>No action needed</t>
        </is>
      </c>
      <c r="C29" s="13">
        <f>SUMPRODUCT(((Findings!$H$2:$H$1000="Confirmed")+(Findings!$H$2:$H$1000="Likely"))*(Findings!$Y$2:$Y$1000=B29))</f>
        <v/>
      </c>
      <c r="D29" s="14">
        <f>IFERROR(C29/$C$8,0)</f>
        <v/>
      </c>
    </row>
    <row r="31">
      <c r="B31" s="7" t="inlineStr">
        <is>
          <t>By Site Category (relevant only)</t>
        </is>
      </c>
      <c r="C31" s="7" t="inlineStr">
        <is>
          <t>Count</t>
        </is>
      </c>
      <c r="D31" s="7" t="inlineStr">
        <is>
          <t>% of relevant</t>
        </is>
      </c>
    </row>
    <row r="32">
      <c r="B32" s="13" t="inlineStr">
        <is>
          <t>Data broker / people search</t>
        </is>
      </c>
      <c r="C32" s="13">
        <f>SUMPRODUCT(((Findings!$H$2:$H$1000="Confirmed")+(Findings!$H$2:$H$1000="Likely"))*(Findings!$F$2:$F$1000=B32))</f>
        <v/>
      </c>
      <c r="D32" s="14">
        <f>IFERROR(C32/$C$8,0)</f>
        <v/>
      </c>
    </row>
    <row r="33">
      <c r="B33" s="13" t="inlineStr">
        <is>
          <t>News / media</t>
        </is>
      </c>
      <c r="C33" s="13">
        <f>SUMPRODUCT(((Findings!$H$2:$H$1000="Confirmed")+(Findings!$H$2:$H$1000="Likely"))*(Findings!$F$2:$F$1000=B33))</f>
        <v/>
      </c>
      <c r="D33" s="14">
        <f>IFERROR(C33/$C$8,0)</f>
        <v/>
      </c>
    </row>
    <row r="34">
      <c r="B34" s="13" t="inlineStr">
        <is>
          <t>Social media</t>
        </is>
      </c>
      <c r="C34" s="13">
        <f>SUMPRODUCT(((Findings!$H$2:$H$1000="Confirmed")+(Findings!$H$2:$H$1000="Likely"))*(Findings!$F$2:$F$1000=B34))</f>
        <v/>
      </c>
      <c r="D34" s="14">
        <f>IFERROR(C34/$C$8,0)</f>
        <v/>
      </c>
    </row>
    <row r="35">
      <c r="B35" s="13" t="inlineStr">
        <is>
          <t>Forum / community</t>
        </is>
      </c>
      <c r="C35" s="13">
        <f>SUMPRODUCT(((Findings!$H$2:$H$1000="Confirmed")+(Findings!$H$2:$H$1000="Likely"))*(Findings!$F$2:$F$1000=B35))</f>
        <v/>
      </c>
      <c r="D35" s="14">
        <f>IFERROR(C35/$C$8,0)</f>
        <v/>
      </c>
    </row>
    <row r="36">
      <c r="B36" s="13" t="inlineStr">
        <is>
          <t>Blog</t>
        </is>
      </c>
      <c r="C36" s="13">
        <f>SUMPRODUCT(((Findings!$H$2:$H$1000="Confirmed")+(Findings!$H$2:$H$1000="Likely"))*(Findings!$F$2:$F$1000=B36))</f>
        <v/>
      </c>
      <c r="D36" s="14">
        <f>IFERROR(C36/$C$8,0)</f>
        <v/>
      </c>
    </row>
    <row r="37">
      <c r="B37" s="13" t="inlineStr">
        <is>
          <t>Business directory</t>
        </is>
      </c>
      <c r="C37" s="13">
        <f>SUMPRODUCT(((Findings!$H$2:$H$1000="Confirmed")+(Findings!$H$2:$H$1000="Likely"))*(Findings!$F$2:$F$1000=B37))</f>
        <v/>
      </c>
      <c r="D37" s="14">
        <f>IFERROR(C37/$C$8,0)</f>
        <v/>
      </c>
    </row>
    <row r="38">
      <c r="B38" s="13" t="inlineStr">
        <is>
          <t>Government / court record</t>
        </is>
      </c>
      <c r="C38" s="13">
        <f>SUMPRODUCT(((Findings!$H$2:$H$1000="Confirmed")+(Findings!$H$2:$H$1000="Likely"))*(Findings!$F$2:$F$1000=B38))</f>
        <v/>
      </c>
      <c r="D38" s="14">
        <f>IFERROR(C38/$C$8,0)</f>
        <v/>
      </c>
    </row>
    <row r="39">
      <c r="B39" s="13" t="inlineStr">
        <is>
          <t>Professional network</t>
        </is>
      </c>
      <c r="C39" s="13">
        <f>SUMPRODUCT(((Findings!$H$2:$H$1000="Confirmed")+(Findings!$H$2:$H$1000="Likely"))*(Findings!$F$2:$F$1000=B39))</f>
        <v/>
      </c>
      <c r="D39" s="14">
        <f>IFERROR(C39/$C$8,0)</f>
        <v/>
      </c>
    </row>
    <row r="40">
      <c r="B40" s="13" t="inlineStr">
        <is>
          <t>Image / video host</t>
        </is>
      </c>
      <c r="C40" s="13">
        <f>SUMPRODUCT(((Findings!$H$2:$H$1000="Confirmed")+(Findings!$H$2:$H$1000="Likely"))*(Findings!$F$2:$F$1000=B40))</f>
        <v/>
      </c>
      <c r="D40" s="14">
        <f>IFERROR(C40/$C$8,0)</f>
        <v/>
      </c>
    </row>
    <row r="41">
      <c r="B41" s="13" t="inlineStr">
        <is>
          <t>Archive / cache</t>
        </is>
      </c>
      <c r="C41" s="13">
        <f>SUMPRODUCT(((Findings!$H$2:$H$1000="Confirmed")+(Findings!$H$2:$H$1000="Likely"))*(Findings!$F$2:$F$1000=B41))</f>
        <v/>
      </c>
      <c r="D41" s="14">
        <f>IFERROR(C41/$C$8,0)</f>
        <v/>
      </c>
    </row>
    <row r="42">
      <c r="B42" s="13" t="inlineStr">
        <is>
          <t>Review site</t>
        </is>
      </c>
      <c r="C42" s="13">
        <f>SUMPRODUCT(((Findings!$H$2:$H$1000="Confirmed")+(Findings!$H$2:$H$1000="Likely"))*(Findings!$F$2:$F$1000=B42))</f>
        <v/>
      </c>
      <c r="D42" s="14">
        <f>IFERROR(C42/$C$8,0)</f>
        <v/>
      </c>
    </row>
    <row r="43">
      <c r="B43" s="13" t="inlineStr">
        <is>
          <t>Other</t>
        </is>
      </c>
      <c r="C43" s="13">
        <f>SUMPRODUCT(((Findings!$H$2:$H$1000="Confirmed")+(Findings!$H$2:$H$1000="Likely"))*(Findings!$F$2:$F$1000=B43))</f>
        <v/>
      </c>
      <c r="D43" s="14">
        <f>IFERROR(C43/$C$8,0)</f>
        <v/>
      </c>
    </row>
    <row r="45">
      <c r="B45" s="7" t="inlineStr">
        <is>
          <t>By Removal Method (relevant only)</t>
        </is>
      </c>
      <c r="C45" s="7" t="inlineStr">
        <is>
          <t>Count</t>
        </is>
      </c>
      <c r="D45" s="7" t="inlineStr">
        <is>
          <t>% of relevant</t>
        </is>
      </c>
    </row>
    <row r="46">
      <c r="B46" s="13" t="inlineStr">
        <is>
          <t>Client deletes own account</t>
        </is>
      </c>
      <c r="C46" s="13">
        <f>SUMPRODUCT(((Findings!$H$2:$H$1000="Confirmed")+(Findings!$H$2:$H$1000="Likely"))*(Findings!$R$2:$R$1000=B46))</f>
        <v/>
      </c>
      <c r="D46" s="14">
        <f>IFERROR(C46/$C$8,0)</f>
        <v/>
      </c>
    </row>
    <row r="47">
      <c r="B47" s="13" t="inlineStr">
        <is>
          <t>Site opt-out form</t>
        </is>
      </c>
      <c r="C47" s="13">
        <f>SUMPRODUCT(((Findings!$H$2:$H$1000="Confirmed")+(Findings!$H$2:$H$1000="Likely"))*(Findings!$R$2:$R$1000=B47))</f>
        <v/>
      </c>
      <c r="D47" s="14">
        <f>IFERROR(C47/$C$8,0)</f>
        <v/>
      </c>
    </row>
    <row r="48">
      <c r="B48" s="13" t="inlineStr">
        <is>
          <t>Direct request to site owner</t>
        </is>
      </c>
      <c r="C48" s="13">
        <f>SUMPRODUCT(((Findings!$H$2:$H$1000="Confirmed")+(Findings!$H$2:$H$1000="Likely"))*(Findings!$R$2:$R$1000=B48))</f>
        <v/>
      </c>
      <c r="D48" s="14">
        <f>IFERROR(C48/$C$8,0)</f>
        <v/>
      </c>
    </row>
    <row r="49">
      <c r="B49" s="13" t="inlineStr">
        <is>
          <t>KVKK request (Law 6698)</t>
        </is>
      </c>
      <c r="C49" s="13">
        <f>SUMPRODUCT(((Findings!$H$2:$H$1000="Confirmed")+(Findings!$H$2:$H$1000="Likely"))*(Findings!$R$2:$R$1000=B49))</f>
        <v/>
      </c>
      <c r="D49" s="14">
        <f>IFERROR(C49/$C$8,0)</f>
        <v/>
      </c>
    </row>
    <row r="50">
      <c r="B50" s="13" t="inlineStr">
        <is>
          <t>GDPR Art. 17 erasure request</t>
        </is>
      </c>
      <c r="C50" s="13">
        <f>SUMPRODUCT(((Findings!$H$2:$H$1000="Confirmed")+(Findings!$H$2:$H$1000="Likely"))*(Findings!$R$2:$R$1000=B50))</f>
        <v/>
      </c>
      <c r="D50" s="14">
        <f>IFERROR(C50/$C$8,0)</f>
        <v/>
      </c>
    </row>
    <row r="51">
      <c r="B51" s="13" t="inlineStr">
        <is>
          <t>Google 'Results about you' / personal info form</t>
        </is>
      </c>
      <c r="C51" s="13">
        <f>SUMPRODUCT(((Findings!$H$2:$H$1000="Confirmed")+(Findings!$H$2:$H$1000="Likely"))*(Findings!$R$2:$R$1000=B51))</f>
        <v/>
      </c>
      <c r="D51" s="14">
        <f>IFERROR(C51/$C$8,0)</f>
        <v/>
      </c>
    </row>
    <row r="52">
      <c r="B52" s="13" t="inlineStr">
        <is>
          <t>Google Outdated Content tool</t>
        </is>
      </c>
      <c r="C52" s="13">
        <f>SUMPRODUCT(((Findings!$H$2:$H$1000="Confirmed")+(Findings!$H$2:$H$1000="Likely"))*(Findings!$R$2:$R$1000=B52))</f>
        <v/>
      </c>
      <c r="D52" s="14">
        <f>IFERROR(C52/$C$8,0)</f>
        <v/>
      </c>
    </row>
    <row r="53">
      <c r="B53" s="13" t="inlineStr">
        <is>
          <t>Court application (Law 5651)</t>
        </is>
      </c>
      <c r="C53" s="13">
        <f>SUMPRODUCT(((Findings!$H$2:$H$1000="Confirmed")+(Findings!$H$2:$H$1000="Likely"))*(Findings!$R$2:$R$1000=B53))</f>
        <v/>
      </c>
      <c r="D53" s="14">
        <f>IFERROR(C53/$C$8,0)</f>
        <v/>
      </c>
    </row>
    <row r="54">
      <c r="B54" s="13" t="inlineStr">
        <is>
          <t>Lawyer / legal notice</t>
        </is>
      </c>
      <c r="C54" s="13">
        <f>SUMPRODUCT(((Findings!$H$2:$H$1000="Confirmed")+(Findings!$H$2:$H$1000="Likely"))*(Findings!$R$2:$R$1000=B54))</f>
        <v/>
      </c>
      <c r="D54" s="14">
        <f>IFERROR(C54/$C$8,0)</f>
        <v/>
      </c>
    </row>
    <row r="55">
      <c r="B55" s="13" t="inlineStr">
        <is>
          <t>Hosting provider abuse report</t>
        </is>
      </c>
      <c r="C55" s="13">
        <f>SUMPRODUCT(((Findings!$H$2:$H$1000="Confirmed")+(Findings!$H$2:$H$1000="Likely"))*(Findings!$R$2:$R$1000=B55))</f>
        <v/>
      </c>
      <c r="D55" s="14">
        <f>IFERROR(C55/$C$8,0)</f>
        <v/>
      </c>
    </row>
    <row r="56">
      <c r="B56" s="13" t="inlineStr">
        <is>
          <t>No action (namesake / low value)</t>
        </is>
      </c>
      <c r="C56" s="13">
        <f>SUMPRODUCT(((Findings!$H$2:$H$1000="Confirmed")+(Findings!$H$2:$H$1000="Likely"))*(Findings!$R$2:$R$1000=B56))</f>
        <v/>
      </c>
      <c r="D56" s="14">
        <f>IFERROR(C56/$C$8,0)</f>
        <v/>
      </c>
    </row>
    <row r="57">
      <c r="B57" s="13" t="inlineStr">
        <is>
          <t>Other</t>
        </is>
      </c>
      <c r="C57" s="13">
        <f>SUMPRODUCT(((Findings!$H$2:$H$1000="Confirmed")+(Findings!$H$2:$H$1000="Likely"))*(Findings!$R$2:$R$1000=B57))</f>
        <v/>
      </c>
      <c r="D57" s="14">
        <f>IFERROR(C57/$C$8,0)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7" customWidth="1" min="1" max="1"/>
    <col width="12" customWidth="1" min="2" max="2"/>
    <col width="42" customWidth="1" min="3" max="3"/>
    <col width="24" customWidth="1" min="4" max="4"/>
    <col width="22" customWidth="1" min="5" max="5"/>
    <col width="24" customWidth="1" min="6" max="6"/>
    <col width="18" customWidth="1" min="7" max="8"/>
    <col width="13" customWidth="1" min="9" max="9"/>
    <col width="16" customWidth="1" min="10" max="10"/>
    <col width="32" customWidth="1" min="11" max="11"/>
    <col width="28" customWidth="1" min="12" max="12"/>
    <col width="11" customWidth="1" min="13" max="17"/>
    <col width="30" customWidth="1" min="18" max="18"/>
    <col width="34" customWidth="1" min="19" max="19"/>
    <col width="24" customWidth="1" min="20" max="20"/>
    <col width="13" customWidth="1" min="21" max="21"/>
    <col width="16" customWidth="1" min="22" max="22"/>
    <col width="13" customWidth="1" min="23" max="23"/>
    <col width="11" customWidth="1" min="24" max="24"/>
    <col width="20" customWidth="1" min="25" max="25"/>
    <col width="13" customWidth="1" min="26" max="26"/>
    <col width="30" customWidth="1" min="27" max="27"/>
    <col width="40" customWidth="1" min="28" max="28"/>
  </cols>
  <sheetData>
    <row r="1" ht="42" customHeight="1">
      <c r="A1" s="15" t="inlineStr">
        <is>
          <t>ID</t>
        </is>
      </c>
      <c r="B1" s="15" t="inlineStr">
        <is>
          <t>Date Found</t>
        </is>
      </c>
      <c r="C1" s="15" t="inlineStr">
        <is>
          <t>Site Link</t>
        </is>
      </c>
      <c r="D1" s="15" t="inlineStr">
        <is>
          <t>Domain</t>
        </is>
      </c>
      <c r="E1" s="15" t="inlineStr">
        <is>
          <t>Site Owner</t>
        </is>
      </c>
      <c r="F1" s="15" t="inlineStr">
        <is>
          <t>Site Category</t>
        </is>
      </c>
      <c r="G1" s="15" t="inlineStr">
        <is>
          <t>Jurisdiction / Hosting Country</t>
        </is>
      </c>
      <c r="H1" s="15" t="inlineStr">
        <is>
          <t>Match Confidence</t>
        </is>
      </c>
      <c r="I1" s="15" t="inlineStr">
        <is>
          <t>Client's Own Account?</t>
        </is>
      </c>
      <c r="J1" s="15" t="inlineStr">
        <is>
          <t>Content Type</t>
        </is>
      </c>
      <c r="K1" s="15" t="inlineStr">
        <is>
          <t>Data Types Exposed</t>
        </is>
      </c>
      <c r="L1" s="15" t="inlineStr">
        <is>
          <t>Mentioned Places (on page)</t>
        </is>
      </c>
      <c r="M1" s="15" t="inlineStr">
        <is>
          <t>Mentions on Page</t>
        </is>
      </c>
      <c r="N1" s="15" t="inlineStr">
        <is>
          <t>Google Rank for Name</t>
        </is>
      </c>
      <c r="O1" s="15" t="inlineStr">
        <is>
          <t>Indexed in Google?</t>
        </is>
      </c>
      <c r="P1" s="15" t="inlineStr">
        <is>
          <t>Archived Copies?</t>
        </is>
      </c>
      <c r="Q1" s="15" t="inlineStr">
        <is>
          <t>Severity</t>
        </is>
      </c>
      <c r="R1" s="15" t="inlineStr">
        <is>
          <t>Removal Method</t>
        </is>
      </c>
      <c r="S1" s="15" t="inlineStr">
        <is>
          <t>Removal Contact / Form URL</t>
        </is>
      </c>
      <c r="T1" s="15" t="inlineStr">
        <is>
          <t>Deindex Fallback</t>
        </is>
      </c>
      <c r="U1" s="15" t="inlineStr">
        <is>
          <t>Request Sent Date</t>
        </is>
      </c>
      <c r="V1" s="15" t="inlineStr">
        <is>
          <t>Request Reference #</t>
        </is>
      </c>
      <c r="W1" s="15" t="inlineStr">
        <is>
          <t>Follow-up Due</t>
        </is>
      </c>
      <c r="X1" s="15" t="inlineStr">
        <is>
          <t>Days Since Request</t>
        </is>
      </c>
      <c r="Y1" s="15" t="inlineStr">
        <is>
          <t>Status</t>
        </is>
      </c>
      <c r="Z1" s="15" t="inlineStr">
        <is>
          <t>Last Checked</t>
        </is>
      </c>
      <c r="AA1" s="15" t="inlineStr">
        <is>
          <t>Evidence (screenshot path)</t>
        </is>
      </c>
      <c r="AB1" s="15" t="inlineStr">
        <is>
          <t>Notes</t>
        </is>
      </c>
    </row>
    <row r="2" ht="25.5" customHeight="1">
      <c r="A2" s="16">
        <f>IF(C2="","",ROW()-1)</f>
        <v/>
      </c>
      <c r="B2" s="17" t="n">
        <v>46293</v>
      </c>
      <c r="C2" s="18" t="inlineStr">
        <is>
          <t>https://www.example-people-directory.com/profile/ahmet-yilmaz-istanbul</t>
        </is>
      </c>
      <c r="D2" s="18" t="inlineStr">
        <is>
          <t>example-people-directory.com</t>
        </is>
      </c>
      <c r="E2" s="18" t="inlineStr">
        <is>
          <t>Example Directory Ltd.</t>
        </is>
      </c>
      <c r="F2" s="18" t="inlineStr">
        <is>
          <t>Data broker / people search</t>
        </is>
      </c>
      <c r="G2" s="18" t="inlineStr">
        <is>
          <t>USA</t>
        </is>
      </c>
      <c r="H2" s="18" t="inlineStr">
        <is>
          <t>Confirmed</t>
        </is>
      </c>
      <c r="I2" s="18" t="inlineStr">
        <is>
          <t>No</t>
        </is>
      </c>
      <c r="J2" s="18" t="inlineStr">
        <is>
          <t>Listing</t>
        </is>
      </c>
      <c r="K2" s="19" t="inlineStr">
        <is>
          <t>Full name, Phone, Past address, Relatives</t>
        </is>
      </c>
      <c r="L2" s="19" t="inlineStr">
        <is>
          <t>Title, profile body, relatives section</t>
        </is>
      </c>
      <c r="M2" s="18" t="n">
        <v>4</v>
      </c>
      <c r="N2" s="18" t="n">
        <v>3</v>
      </c>
      <c r="O2" s="18" t="inlineStr">
        <is>
          <t>Yes</t>
        </is>
      </c>
      <c r="P2" s="18" t="inlineStr">
        <is>
          <t>No</t>
        </is>
      </c>
      <c r="Q2" s="18" t="inlineStr">
        <is>
          <t>High</t>
        </is>
      </c>
      <c r="R2" s="18" t="inlineStr">
        <is>
          <t>Site opt-out form</t>
        </is>
      </c>
      <c r="S2" s="18" t="inlineStr">
        <is>
          <t>https://www.example-people-directory.com/optout</t>
        </is>
      </c>
      <c r="T2" s="18" t="inlineStr">
        <is>
          <t>Google personal info removal form</t>
        </is>
      </c>
      <c r="U2" s="17" t="n">
        <v>46294</v>
      </c>
      <c r="V2" s="18" t="inlineStr">
        <is>
          <t>OPT-448213</t>
        </is>
      </c>
      <c r="W2" s="20">
        <f>IF(U2="","",U2+Summary!$C$4)</f>
        <v/>
      </c>
      <c r="X2" s="16">
        <f>IF(OR(U2="",Y2="Removed",Y2="Deindexed only",Y2="No action needed"),"",TODAY()-U2)</f>
        <v/>
      </c>
      <c r="Y2" s="18" t="inlineStr">
        <is>
          <t>Requested</t>
        </is>
      </c>
      <c r="Z2" s="17" t="n">
        <v>46294</v>
      </c>
      <c r="AA2" s="18" t="inlineStr">
        <is>
          <t>evidence/0001_example-people-directory.png</t>
        </is>
      </c>
      <c r="AB2" s="21" t="inlineStr">
        <is>
          <t>EXAMPLE ROW - delete or overwrite. Opt-out needs email confirmation from client.</t>
        </is>
      </c>
    </row>
    <row r="3">
      <c r="A3" s="16">
        <f>IF(C3="","",ROW()-1)</f>
        <v/>
      </c>
      <c r="B3" s="17" t="n"/>
      <c r="C3" s="18" t="n"/>
      <c r="D3" s="18" t="n"/>
      <c r="E3" s="18" t="n"/>
      <c r="F3" s="18" t="n"/>
      <c r="G3" s="18" t="n"/>
      <c r="H3" s="18" t="n"/>
      <c r="I3" s="18" t="n"/>
      <c r="J3" s="18" t="n"/>
      <c r="K3" s="19" t="n"/>
      <c r="L3" s="19" t="n"/>
      <c r="M3" s="18" t="n"/>
      <c r="N3" s="18" t="n"/>
      <c r="O3" s="18" t="n"/>
      <c r="P3" s="18" t="n"/>
      <c r="Q3" s="18" t="n"/>
      <c r="R3" s="18" t="n"/>
      <c r="S3" s="18" t="n"/>
      <c r="T3" s="18" t="n"/>
      <c r="U3" s="17" t="n"/>
      <c r="V3" s="18" t="n"/>
      <c r="W3" s="20">
        <f>IF(U3="","",U3+Summary!$C$4)</f>
        <v/>
      </c>
      <c r="X3" s="16">
        <f>IF(OR(U3="",Y3="Removed",Y3="Deindexed only",Y3="No action needed"),"",TODAY()-U3)</f>
        <v/>
      </c>
      <c r="Y3" s="18" t="n"/>
      <c r="Z3" s="17" t="n"/>
      <c r="AA3" s="18" t="n"/>
      <c r="AB3" s="19" t="n"/>
    </row>
    <row r="4">
      <c r="A4" s="16">
        <f>IF(C4="","",ROW()-1)</f>
        <v/>
      </c>
      <c r="B4" s="17" t="n"/>
      <c r="C4" s="18" t="n"/>
      <c r="D4" s="18" t="n"/>
      <c r="E4" s="18" t="n"/>
      <c r="F4" s="18" t="n"/>
      <c r="G4" s="18" t="n"/>
      <c r="H4" s="18" t="n"/>
      <c r="I4" s="18" t="n"/>
      <c r="J4" s="18" t="n"/>
      <c r="K4" s="19" t="n"/>
      <c r="L4" s="19" t="n"/>
      <c r="M4" s="18" t="n"/>
      <c r="N4" s="18" t="n"/>
      <c r="O4" s="18" t="n"/>
      <c r="P4" s="18" t="n"/>
      <c r="Q4" s="18" t="n"/>
      <c r="R4" s="18" t="n"/>
      <c r="S4" s="18" t="n"/>
      <c r="T4" s="18" t="n"/>
      <c r="U4" s="17" t="n"/>
      <c r="V4" s="18" t="n"/>
      <c r="W4" s="20">
        <f>IF(U4="","",U4+Summary!$C$4)</f>
        <v/>
      </c>
      <c r="X4" s="16">
        <f>IF(OR(U4="",Y4="Removed",Y4="Deindexed only",Y4="No action needed"),"",TODAY()-U4)</f>
        <v/>
      </c>
      <c r="Y4" s="18" t="n"/>
      <c r="Z4" s="17" t="n"/>
      <c r="AA4" s="18" t="n"/>
      <c r="AB4" s="19" t="n"/>
    </row>
    <row r="5">
      <c r="A5" s="16">
        <f>IF(C5="","",ROW()-1)</f>
        <v/>
      </c>
      <c r="B5" s="17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n"/>
      <c r="L5" s="19" t="n"/>
      <c r="M5" s="18" t="n"/>
      <c r="N5" s="18" t="n"/>
      <c r="O5" s="18" t="n"/>
      <c r="P5" s="18" t="n"/>
      <c r="Q5" s="18" t="n"/>
      <c r="R5" s="18" t="n"/>
      <c r="S5" s="18" t="n"/>
      <c r="T5" s="18" t="n"/>
      <c r="U5" s="17" t="n"/>
      <c r="V5" s="18" t="n"/>
      <c r="W5" s="20">
        <f>IF(U5="","",U5+Summary!$C$4)</f>
        <v/>
      </c>
      <c r="X5" s="16">
        <f>IF(OR(U5="",Y5="Removed",Y5="Deindexed only",Y5="No action needed"),"",TODAY()-U5)</f>
        <v/>
      </c>
      <c r="Y5" s="18" t="n"/>
      <c r="Z5" s="17" t="n"/>
      <c r="AA5" s="18" t="n"/>
      <c r="AB5" s="19" t="n"/>
    </row>
    <row r="6">
      <c r="A6" s="16">
        <f>IF(C6="","",ROW()-1)</f>
        <v/>
      </c>
      <c r="B6" s="17" t="n"/>
      <c r="C6" s="18" t="n"/>
      <c r="D6" s="18" t="n"/>
      <c r="E6" s="18" t="n"/>
      <c r="F6" s="18" t="n"/>
      <c r="G6" s="18" t="n"/>
      <c r="H6" s="18" t="n"/>
      <c r="I6" s="18" t="n"/>
      <c r="J6" s="18" t="n"/>
      <c r="K6" s="19" t="n"/>
      <c r="L6" s="19" t="n"/>
      <c r="M6" s="18" t="n"/>
      <c r="N6" s="18" t="n"/>
      <c r="O6" s="18" t="n"/>
      <c r="P6" s="18" t="n"/>
      <c r="Q6" s="18" t="n"/>
      <c r="R6" s="18" t="n"/>
      <c r="S6" s="18" t="n"/>
      <c r="T6" s="18" t="n"/>
      <c r="U6" s="17" t="n"/>
      <c r="V6" s="18" t="n"/>
      <c r="W6" s="20">
        <f>IF(U6="","",U6+Summary!$C$4)</f>
        <v/>
      </c>
      <c r="X6" s="16">
        <f>IF(OR(U6="",Y6="Removed",Y6="Deindexed only",Y6="No action needed"),"",TODAY()-U6)</f>
        <v/>
      </c>
      <c r="Y6" s="18" t="n"/>
      <c r="Z6" s="17" t="n"/>
      <c r="AA6" s="18" t="n"/>
      <c r="AB6" s="19" t="n"/>
    </row>
    <row r="7">
      <c r="A7" s="16">
        <f>IF(C7="","",ROW()-1)</f>
        <v/>
      </c>
      <c r="B7" s="17" t="n"/>
      <c r="C7" s="18" t="n"/>
      <c r="D7" s="18" t="n"/>
      <c r="E7" s="18" t="n"/>
      <c r="F7" s="18" t="n"/>
      <c r="G7" s="18" t="n"/>
      <c r="H7" s="18" t="n"/>
      <c r="I7" s="18" t="n"/>
      <c r="J7" s="18" t="n"/>
      <c r="K7" s="19" t="n"/>
      <c r="L7" s="19" t="n"/>
      <c r="M7" s="18" t="n"/>
      <c r="N7" s="18" t="n"/>
      <c r="O7" s="18" t="n"/>
      <c r="P7" s="18" t="n"/>
      <c r="Q7" s="18" t="n"/>
      <c r="R7" s="18" t="n"/>
      <c r="S7" s="18" t="n"/>
      <c r="T7" s="18" t="n"/>
      <c r="U7" s="17" t="n"/>
      <c r="V7" s="18" t="n"/>
      <c r="W7" s="20">
        <f>IF(U7="","",U7+Summary!$C$4)</f>
        <v/>
      </c>
      <c r="X7" s="16">
        <f>IF(OR(U7="",Y7="Removed",Y7="Deindexed only",Y7="No action needed"),"",TODAY()-U7)</f>
        <v/>
      </c>
      <c r="Y7" s="18" t="n"/>
      <c r="Z7" s="17" t="n"/>
      <c r="AA7" s="18" t="n"/>
      <c r="AB7" s="19" t="n"/>
    </row>
    <row r="8">
      <c r="A8" s="16">
        <f>IF(C8="","",ROW()-1)</f>
        <v/>
      </c>
      <c r="B8" s="17" t="n"/>
      <c r="C8" s="18" t="n"/>
      <c r="D8" s="18" t="n"/>
      <c r="E8" s="18" t="n"/>
      <c r="F8" s="18" t="n"/>
      <c r="G8" s="18" t="n"/>
      <c r="H8" s="18" t="n"/>
      <c r="I8" s="18" t="n"/>
      <c r="J8" s="18" t="n"/>
      <c r="K8" s="19" t="n"/>
      <c r="L8" s="19" t="n"/>
      <c r="M8" s="18" t="n"/>
      <c r="N8" s="18" t="n"/>
      <c r="O8" s="18" t="n"/>
      <c r="P8" s="18" t="n"/>
      <c r="Q8" s="18" t="n"/>
      <c r="R8" s="18" t="n"/>
      <c r="S8" s="18" t="n"/>
      <c r="T8" s="18" t="n"/>
      <c r="U8" s="17" t="n"/>
      <c r="V8" s="18" t="n"/>
      <c r="W8" s="20">
        <f>IF(U8="","",U8+Summary!$C$4)</f>
        <v/>
      </c>
      <c r="X8" s="16">
        <f>IF(OR(U8="",Y8="Removed",Y8="Deindexed only",Y8="No action needed"),"",TODAY()-U8)</f>
        <v/>
      </c>
      <c r="Y8" s="18" t="n"/>
      <c r="Z8" s="17" t="n"/>
      <c r="AA8" s="18" t="n"/>
      <c r="AB8" s="19" t="n"/>
    </row>
    <row r="9">
      <c r="A9" s="16">
        <f>IF(C9="","",ROW()-1)</f>
        <v/>
      </c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9" t="n"/>
      <c r="L9" s="19" t="n"/>
      <c r="M9" s="18" t="n"/>
      <c r="N9" s="18" t="n"/>
      <c r="O9" s="18" t="n"/>
      <c r="P9" s="18" t="n"/>
      <c r="Q9" s="18" t="n"/>
      <c r="R9" s="18" t="n"/>
      <c r="S9" s="18" t="n"/>
      <c r="T9" s="18" t="n"/>
      <c r="U9" s="17" t="n"/>
      <c r="V9" s="18" t="n"/>
      <c r="W9" s="20">
        <f>IF(U9="","",U9+Summary!$C$4)</f>
        <v/>
      </c>
      <c r="X9" s="16">
        <f>IF(OR(U9="",Y9="Removed",Y9="Deindexed only",Y9="No action needed"),"",TODAY()-U9)</f>
        <v/>
      </c>
      <c r="Y9" s="18" t="n"/>
      <c r="Z9" s="17" t="n"/>
      <c r="AA9" s="18" t="n"/>
      <c r="AB9" s="19" t="n"/>
    </row>
    <row r="10">
      <c r="A10" s="16">
        <f>IF(C10="","",ROW()-1)</f>
        <v/>
      </c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9" t="n"/>
      <c r="L10" s="19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7" t="n"/>
      <c r="V10" s="18" t="n"/>
      <c r="W10" s="20">
        <f>IF(U10="","",U10+Summary!$C$4)</f>
        <v/>
      </c>
      <c r="X10" s="16">
        <f>IF(OR(U10="",Y10="Removed",Y10="Deindexed only",Y10="No action needed"),"",TODAY()-U10)</f>
        <v/>
      </c>
      <c r="Y10" s="18" t="n"/>
      <c r="Z10" s="17" t="n"/>
      <c r="AA10" s="18" t="n"/>
      <c r="AB10" s="19" t="n"/>
    </row>
    <row r="11">
      <c r="A11" s="16">
        <f>IF(C11="","",ROW()-1)</f>
        <v/>
      </c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9" t="n"/>
      <c r="L11" s="19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7" t="n"/>
      <c r="V11" s="18" t="n"/>
      <c r="W11" s="20">
        <f>IF(U11="","",U11+Summary!$C$4)</f>
        <v/>
      </c>
      <c r="X11" s="16">
        <f>IF(OR(U11="",Y11="Removed",Y11="Deindexed only",Y11="No action needed"),"",TODAY()-U11)</f>
        <v/>
      </c>
      <c r="Y11" s="18" t="n"/>
      <c r="Z11" s="17" t="n"/>
      <c r="AA11" s="18" t="n"/>
      <c r="AB11" s="19" t="n"/>
    </row>
    <row r="12">
      <c r="A12" s="16">
        <f>IF(C12="","",ROW()-1)</f>
        <v/>
      </c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9" t="n"/>
      <c r="L12" s="19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7" t="n"/>
      <c r="V12" s="18" t="n"/>
      <c r="W12" s="20">
        <f>IF(U12="","",U12+Summary!$C$4)</f>
        <v/>
      </c>
      <c r="X12" s="16">
        <f>IF(OR(U12="",Y12="Removed",Y12="Deindexed only",Y12="No action needed"),"",TODAY()-U12)</f>
        <v/>
      </c>
      <c r="Y12" s="18" t="n"/>
      <c r="Z12" s="17" t="n"/>
      <c r="AA12" s="18" t="n"/>
      <c r="AB12" s="19" t="n"/>
    </row>
    <row r="13">
      <c r="A13" s="16">
        <f>IF(C13="","",ROW()-1)</f>
        <v/>
      </c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9" t="n"/>
      <c r="L13" s="19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7" t="n"/>
      <c r="V13" s="18" t="n"/>
      <c r="W13" s="20">
        <f>IF(U13="","",U13+Summary!$C$4)</f>
        <v/>
      </c>
      <c r="X13" s="16">
        <f>IF(OR(U13="",Y13="Removed",Y13="Deindexed only",Y13="No action needed"),"",TODAY()-U13)</f>
        <v/>
      </c>
      <c r="Y13" s="18" t="n"/>
      <c r="Z13" s="17" t="n"/>
      <c r="AA13" s="18" t="n"/>
      <c r="AB13" s="19" t="n"/>
    </row>
    <row r="14">
      <c r="A14" s="16">
        <f>IF(C14="","",ROW()-1)</f>
        <v/>
      </c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9" t="n"/>
      <c r="L14" s="19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7" t="n"/>
      <c r="V14" s="18" t="n"/>
      <c r="W14" s="20">
        <f>IF(U14="","",U14+Summary!$C$4)</f>
        <v/>
      </c>
      <c r="X14" s="16">
        <f>IF(OR(U14="",Y14="Removed",Y14="Deindexed only",Y14="No action needed"),"",TODAY()-U14)</f>
        <v/>
      </c>
      <c r="Y14" s="18" t="n"/>
      <c r="Z14" s="17" t="n"/>
      <c r="AA14" s="18" t="n"/>
      <c r="AB14" s="19" t="n"/>
    </row>
    <row r="15">
      <c r="A15" s="16">
        <f>IF(C15="","",ROW()-1)</f>
        <v/>
      </c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9" t="n"/>
      <c r="L15" s="19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7" t="n"/>
      <c r="V15" s="18" t="n"/>
      <c r="W15" s="20">
        <f>IF(U15="","",U15+Summary!$C$4)</f>
        <v/>
      </c>
      <c r="X15" s="16">
        <f>IF(OR(U15="",Y15="Removed",Y15="Deindexed only",Y15="No action needed"),"",TODAY()-U15)</f>
        <v/>
      </c>
      <c r="Y15" s="18" t="n"/>
      <c r="Z15" s="17" t="n"/>
      <c r="AA15" s="18" t="n"/>
      <c r="AB15" s="19" t="n"/>
    </row>
    <row r="16">
      <c r="A16" s="16">
        <f>IF(C16="","",ROW()-1)</f>
        <v/>
      </c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  <c r="L16" s="19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7" t="n"/>
      <c r="V16" s="18" t="n"/>
      <c r="W16" s="20">
        <f>IF(U16="","",U16+Summary!$C$4)</f>
        <v/>
      </c>
      <c r="X16" s="16">
        <f>IF(OR(U16="",Y16="Removed",Y16="Deindexed only",Y16="No action needed"),"",TODAY()-U16)</f>
        <v/>
      </c>
      <c r="Y16" s="18" t="n"/>
      <c r="Z16" s="17" t="n"/>
      <c r="AA16" s="18" t="n"/>
      <c r="AB16" s="19" t="n"/>
    </row>
    <row r="17">
      <c r="A17" s="16">
        <f>IF(C17="","",ROW()-1)</f>
        <v/>
      </c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9" t="n"/>
      <c r="L17" s="19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7" t="n"/>
      <c r="V17" s="18" t="n"/>
      <c r="W17" s="20">
        <f>IF(U17="","",U17+Summary!$C$4)</f>
        <v/>
      </c>
      <c r="X17" s="16">
        <f>IF(OR(U17="",Y17="Removed",Y17="Deindexed only",Y17="No action needed"),"",TODAY()-U17)</f>
        <v/>
      </c>
      <c r="Y17" s="18" t="n"/>
      <c r="Z17" s="17" t="n"/>
      <c r="AA17" s="18" t="n"/>
      <c r="AB17" s="19" t="n"/>
    </row>
    <row r="18">
      <c r="A18" s="16">
        <f>IF(C18="","",ROW()-1)</f>
        <v/>
      </c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9" t="n"/>
      <c r="L18" s="19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7" t="n"/>
      <c r="V18" s="18" t="n"/>
      <c r="W18" s="20">
        <f>IF(U18="","",U18+Summary!$C$4)</f>
        <v/>
      </c>
      <c r="X18" s="16">
        <f>IF(OR(U18="",Y18="Removed",Y18="Deindexed only",Y18="No action needed"),"",TODAY()-U18)</f>
        <v/>
      </c>
      <c r="Y18" s="18" t="n"/>
      <c r="Z18" s="17" t="n"/>
      <c r="AA18" s="18" t="n"/>
      <c r="AB18" s="19" t="n"/>
    </row>
    <row r="19">
      <c r="A19" s="16">
        <f>IF(C19="","",ROW()-1)</f>
        <v/>
      </c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9" t="n"/>
      <c r="L19" s="19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7" t="n"/>
      <c r="V19" s="18" t="n"/>
      <c r="W19" s="20">
        <f>IF(U19="","",U19+Summary!$C$4)</f>
        <v/>
      </c>
      <c r="X19" s="16">
        <f>IF(OR(U19="",Y19="Removed",Y19="Deindexed only",Y19="No action needed"),"",TODAY()-U19)</f>
        <v/>
      </c>
      <c r="Y19" s="18" t="n"/>
      <c r="Z19" s="17" t="n"/>
      <c r="AA19" s="18" t="n"/>
      <c r="AB19" s="19" t="n"/>
    </row>
    <row r="20">
      <c r="A20" s="16">
        <f>IF(C20="","",ROW()-1)</f>
        <v/>
      </c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9" t="n"/>
      <c r="L20" s="19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7" t="n"/>
      <c r="V20" s="18" t="n"/>
      <c r="W20" s="20">
        <f>IF(U20="","",U20+Summary!$C$4)</f>
        <v/>
      </c>
      <c r="X20" s="16">
        <f>IF(OR(U20="",Y20="Removed",Y20="Deindexed only",Y20="No action needed"),"",TODAY()-U20)</f>
        <v/>
      </c>
      <c r="Y20" s="18" t="n"/>
      <c r="Z20" s="17" t="n"/>
      <c r="AA20" s="18" t="n"/>
      <c r="AB20" s="19" t="n"/>
    </row>
    <row r="21">
      <c r="A21" s="16">
        <f>IF(C21="","",ROW()-1)</f>
        <v/>
      </c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9" t="n"/>
      <c r="L21" s="19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7" t="n"/>
      <c r="V21" s="18" t="n"/>
      <c r="W21" s="20">
        <f>IF(U21="","",U21+Summary!$C$4)</f>
        <v/>
      </c>
      <c r="X21" s="16">
        <f>IF(OR(U21="",Y21="Removed",Y21="Deindexed only",Y21="No action needed"),"",TODAY()-U21)</f>
        <v/>
      </c>
      <c r="Y21" s="18" t="n"/>
      <c r="Z21" s="17" t="n"/>
      <c r="AA21" s="18" t="n"/>
      <c r="AB21" s="19" t="n"/>
    </row>
    <row r="22">
      <c r="A22" s="16">
        <f>IF(C22="","",ROW()-1)</f>
        <v/>
      </c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9" t="n"/>
      <c r="L22" s="19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7" t="n"/>
      <c r="V22" s="18" t="n"/>
      <c r="W22" s="20">
        <f>IF(U22="","",U22+Summary!$C$4)</f>
        <v/>
      </c>
      <c r="X22" s="16">
        <f>IF(OR(U22="",Y22="Removed",Y22="Deindexed only",Y22="No action needed"),"",TODAY()-U22)</f>
        <v/>
      </c>
      <c r="Y22" s="18" t="n"/>
      <c r="Z22" s="17" t="n"/>
      <c r="AA22" s="18" t="n"/>
      <c r="AB22" s="19" t="n"/>
    </row>
    <row r="23">
      <c r="A23" s="16">
        <f>IF(C23="","",ROW()-1)</f>
        <v/>
      </c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9" t="n"/>
      <c r="L23" s="19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7" t="n"/>
      <c r="V23" s="18" t="n"/>
      <c r="W23" s="20">
        <f>IF(U23="","",U23+Summary!$C$4)</f>
        <v/>
      </c>
      <c r="X23" s="16">
        <f>IF(OR(U23="",Y23="Removed",Y23="Deindexed only",Y23="No action needed"),"",TODAY()-U23)</f>
        <v/>
      </c>
      <c r="Y23" s="18" t="n"/>
      <c r="Z23" s="17" t="n"/>
      <c r="AA23" s="18" t="n"/>
      <c r="AB23" s="19" t="n"/>
    </row>
    <row r="24">
      <c r="A24" s="16">
        <f>IF(C24="","",ROW()-1)</f>
        <v/>
      </c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9" t="n"/>
      <c r="L24" s="19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7" t="n"/>
      <c r="V24" s="18" t="n"/>
      <c r="W24" s="20">
        <f>IF(U24="","",U24+Summary!$C$4)</f>
        <v/>
      </c>
      <c r="X24" s="16">
        <f>IF(OR(U24="",Y24="Removed",Y24="Deindexed only",Y24="No action needed"),"",TODAY()-U24)</f>
        <v/>
      </c>
      <c r="Y24" s="18" t="n"/>
      <c r="Z24" s="17" t="n"/>
      <c r="AA24" s="18" t="n"/>
      <c r="AB24" s="19" t="n"/>
    </row>
    <row r="25">
      <c r="A25" s="16">
        <f>IF(C25="","",ROW()-1)</f>
        <v/>
      </c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9" t="n"/>
      <c r="L25" s="19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7" t="n"/>
      <c r="V25" s="18" t="n"/>
      <c r="W25" s="20">
        <f>IF(U25="","",U25+Summary!$C$4)</f>
        <v/>
      </c>
      <c r="X25" s="16">
        <f>IF(OR(U25="",Y25="Removed",Y25="Deindexed only",Y25="No action needed"),"",TODAY()-U25)</f>
        <v/>
      </c>
      <c r="Y25" s="18" t="n"/>
      <c r="Z25" s="17" t="n"/>
      <c r="AA25" s="18" t="n"/>
      <c r="AB25" s="19" t="n"/>
    </row>
    <row r="26">
      <c r="A26" s="16">
        <f>IF(C26="","",ROW()-1)</f>
        <v/>
      </c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  <c r="L26" s="19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7" t="n"/>
      <c r="V26" s="18" t="n"/>
      <c r="W26" s="20">
        <f>IF(U26="","",U26+Summary!$C$4)</f>
        <v/>
      </c>
      <c r="X26" s="16">
        <f>IF(OR(U26="",Y26="Removed",Y26="Deindexed only",Y26="No action needed"),"",TODAY()-U26)</f>
        <v/>
      </c>
      <c r="Y26" s="18" t="n"/>
      <c r="Z26" s="17" t="n"/>
      <c r="AA26" s="18" t="n"/>
      <c r="AB26" s="19" t="n"/>
    </row>
    <row r="27">
      <c r="A27" s="16">
        <f>IF(C27="","",ROW()-1)</f>
        <v/>
      </c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9" t="n"/>
      <c r="L27" s="19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7" t="n"/>
      <c r="V27" s="18" t="n"/>
      <c r="W27" s="20">
        <f>IF(U27="","",U27+Summary!$C$4)</f>
        <v/>
      </c>
      <c r="X27" s="16">
        <f>IF(OR(U27="",Y27="Removed",Y27="Deindexed only",Y27="No action needed"),"",TODAY()-U27)</f>
        <v/>
      </c>
      <c r="Y27" s="18" t="n"/>
      <c r="Z27" s="17" t="n"/>
      <c r="AA27" s="18" t="n"/>
      <c r="AB27" s="19" t="n"/>
    </row>
    <row r="28">
      <c r="A28" s="16">
        <f>IF(C28="","",ROW()-1)</f>
        <v/>
      </c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9" t="n"/>
      <c r="L28" s="19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7" t="n"/>
      <c r="V28" s="18" t="n"/>
      <c r="W28" s="20">
        <f>IF(U28="","",U28+Summary!$C$4)</f>
        <v/>
      </c>
      <c r="X28" s="16">
        <f>IF(OR(U28="",Y28="Removed",Y28="Deindexed only",Y28="No action needed"),"",TODAY()-U28)</f>
        <v/>
      </c>
      <c r="Y28" s="18" t="n"/>
      <c r="Z28" s="17" t="n"/>
      <c r="AA28" s="18" t="n"/>
      <c r="AB28" s="19" t="n"/>
    </row>
    <row r="29">
      <c r="A29" s="16">
        <f>IF(C29="","",ROW()-1)</f>
        <v/>
      </c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9" t="n"/>
      <c r="L29" s="19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7" t="n"/>
      <c r="V29" s="18" t="n"/>
      <c r="W29" s="20">
        <f>IF(U29="","",U29+Summary!$C$4)</f>
        <v/>
      </c>
      <c r="X29" s="16">
        <f>IF(OR(U29="",Y29="Removed",Y29="Deindexed only",Y29="No action needed"),"",TODAY()-U29)</f>
        <v/>
      </c>
      <c r="Y29" s="18" t="n"/>
      <c r="Z29" s="17" t="n"/>
      <c r="AA29" s="18" t="n"/>
      <c r="AB29" s="19" t="n"/>
    </row>
    <row r="30">
      <c r="A30" s="16">
        <f>IF(C30="","",ROW()-1)</f>
        <v/>
      </c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9" t="n"/>
      <c r="L30" s="19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7" t="n"/>
      <c r="V30" s="18" t="n"/>
      <c r="W30" s="20">
        <f>IF(U30="","",U30+Summary!$C$4)</f>
        <v/>
      </c>
      <c r="X30" s="16">
        <f>IF(OR(U30="",Y30="Removed",Y30="Deindexed only",Y30="No action needed"),"",TODAY()-U30)</f>
        <v/>
      </c>
      <c r="Y30" s="18" t="n"/>
      <c r="Z30" s="17" t="n"/>
      <c r="AA30" s="18" t="n"/>
      <c r="AB30" s="19" t="n"/>
    </row>
    <row r="31">
      <c r="A31" s="16">
        <f>IF(C31="","",ROW()-1)</f>
        <v/>
      </c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9" t="n"/>
      <c r="L31" s="19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7" t="n"/>
      <c r="V31" s="18" t="n"/>
      <c r="W31" s="20">
        <f>IF(U31="","",U31+Summary!$C$4)</f>
        <v/>
      </c>
      <c r="X31" s="16">
        <f>IF(OR(U31="",Y31="Removed",Y31="Deindexed only",Y31="No action needed"),"",TODAY()-U31)</f>
        <v/>
      </c>
      <c r="Y31" s="18" t="n"/>
      <c r="Z31" s="17" t="n"/>
      <c r="AA31" s="18" t="n"/>
      <c r="AB31" s="19" t="n"/>
    </row>
    <row r="32">
      <c r="A32" s="16">
        <f>IF(C32="","",ROW()-1)</f>
        <v/>
      </c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9" t="n"/>
      <c r="L32" s="19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7" t="n"/>
      <c r="V32" s="18" t="n"/>
      <c r="W32" s="20">
        <f>IF(U32="","",U32+Summary!$C$4)</f>
        <v/>
      </c>
      <c r="X32" s="16">
        <f>IF(OR(U32="",Y32="Removed",Y32="Deindexed only",Y32="No action needed"),"",TODAY()-U32)</f>
        <v/>
      </c>
      <c r="Y32" s="18" t="n"/>
      <c r="Z32" s="17" t="n"/>
      <c r="AA32" s="18" t="n"/>
      <c r="AB32" s="19" t="n"/>
    </row>
    <row r="33">
      <c r="A33" s="16">
        <f>IF(C33="","",ROW()-1)</f>
        <v/>
      </c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9" t="n"/>
      <c r="L33" s="19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7" t="n"/>
      <c r="V33" s="18" t="n"/>
      <c r="W33" s="20">
        <f>IF(U33="","",U33+Summary!$C$4)</f>
        <v/>
      </c>
      <c r="X33" s="16">
        <f>IF(OR(U33="",Y33="Removed",Y33="Deindexed only",Y33="No action needed"),"",TODAY()-U33)</f>
        <v/>
      </c>
      <c r="Y33" s="18" t="n"/>
      <c r="Z33" s="17" t="n"/>
      <c r="AA33" s="18" t="n"/>
      <c r="AB33" s="19" t="n"/>
    </row>
    <row r="34">
      <c r="A34" s="16">
        <f>IF(C34="","",ROW()-1)</f>
        <v/>
      </c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9" t="n"/>
      <c r="L34" s="19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7" t="n"/>
      <c r="V34" s="18" t="n"/>
      <c r="W34" s="20">
        <f>IF(U34="","",U34+Summary!$C$4)</f>
        <v/>
      </c>
      <c r="X34" s="16">
        <f>IF(OR(U34="",Y34="Removed",Y34="Deindexed only",Y34="No action needed"),"",TODAY()-U34)</f>
        <v/>
      </c>
      <c r="Y34" s="18" t="n"/>
      <c r="Z34" s="17" t="n"/>
      <c r="AA34" s="18" t="n"/>
      <c r="AB34" s="19" t="n"/>
    </row>
    <row r="35">
      <c r="A35" s="16">
        <f>IF(C35="","",ROW()-1)</f>
        <v/>
      </c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9" t="n"/>
      <c r="L35" s="19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7" t="n"/>
      <c r="V35" s="18" t="n"/>
      <c r="W35" s="20">
        <f>IF(U35="","",U35+Summary!$C$4)</f>
        <v/>
      </c>
      <c r="X35" s="16">
        <f>IF(OR(U35="",Y35="Removed",Y35="Deindexed only",Y35="No action needed"),"",TODAY()-U35)</f>
        <v/>
      </c>
      <c r="Y35" s="18" t="n"/>
      <c r="Z35" s="17" t="n"/>
      <c r="AA35" s="18" t="n"/>
      <c r="AB35" s="19" t="n"/>
    </row>
    <row r="36">
      <c r="A36" s="16">
        <f>IF(C36="","",ROW()-1)</f>
        <v/>
      </c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9" t="n"/>
      <c r="L36" s="19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7" t="n"/>
      <c r="V36" s="18" t="n"/>
      <c r="W36" s="20">
        <f>IF(U36="","",U36+Summary!$C$4)</f>
        <v/>
      </c>
      <c r="X36" s="16">
        <f>IF(OR(U36="",Y36="Removed",Y36="Deindexed only",Y36="No action needed"),"",TODAY()-U36)</f>
        <v/>
      </c>
      <c r="Y36" s="18" t="n"/>
      <c r="Z36" s="17" t="n"/>
      <c r="AA36" s="18" t="n"/>
      <c r="AB36" s="19" t="n"/>
    </row>
    <row r="37">
      <c r="A37" s="16">
        <f>IF(C37="","",ROW()-1)</f>
        <v/>
      </c>
      <c r="B37" s="17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9" t="n"/>
      <c r="L37" s="19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7" t="n"/>
      <c r="V37" s="18" t="n"/>
      <c r="W37" s="20">
        <f>IF(U37="","",U37+Summary!$C$4)</f>
        <v/>
      </c>
      <c r="X37" s="16">
        <f>IF(OR(U37="",Y37="Removed",Y37="Deindexed only",Y37="No action needed"),"",TODAY()-U37)</f>
        <v/>
      </c>
      <c r="Y37" s="18" t="n"/>
      <c r="Z37" s="17" t="n"/>
      <c r="AA37" s="18" t="n"/>
      <c r="AB37" s="19" t="n"/>
    </row>
    <row r="38">
      <c r="A38" s="16">
        <f>IF(C38="","",ROW()-1)</f>
        <v/>
      </c>
      <c r="B38" s="17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9" t="n"/>
      <c r="L38" s="19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7" t="n"/>
      <c r="V38" s="18" t="n"/>
      <c r="W38" s="20">
        <f>IF(U38="","",U38+Summary!$C$4)</f>
        <v/>
      </c>
      <c r="X38" s="16">
        <f>IF(OR(U38="",Y38="Removed",Y38="Deindexed only",Y38="No action needed"),"",TODAY()-U38)</f>
        <v/>
      </c>
      <c r="Y38" s="18" t="n"/>
      <c r="Z38" s="17" t="n"/>
      <c r="AA38" s="18" t="n"/>
      <c r="AB38" s="19" t="n"/>
    </row>
    <row r="39">
      <c r="A39" s="16">
        <f>IF(C39="","",ROW()-1)</f>
        <v/>
      </c>
      <c r="B39" s="17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9" t="n"/>
      <c r="L39" s="19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7" t="n"/>
      <c r="V39" s="18" t="n"/>
      <c r="W39" s="20">
        <f>IF(U39="","",U39+Summary!$C$4)</f>
        <v/>
      </c>
      <c r="X39" s="16">
        <f>IF(OR(U39="",Y39="Removed",Y39="Deindexed only",Y39="No action needed"),"",TODAY()-U39)</f>
        <v/>
      </c>
      <c r="Y39" s="18" t="n"/>
      <c r="Z39" s="17" t="n"/>
      <c r="AA39" s="18" t="n"/>
      <c r="AB39" s="19" t="n"/>
    </row>
    <row r="40">
      <c r="A40" s="16">
        <f>IF(C40="","",ROW()-1)</f>
        <v/>
      </c>
      <c r="B40" s="17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9" t="n"/>
      <c r="L40" s="19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7" t="n"/>
      <c r="V40" s="18" t="n"/>
      <c r="W40" s="20">
        <f>IF(U40="","",U40+Summary!$C$4)</f>
        <v/>
      </c>
      <c r="X40" s="16">
        <f>IF(OR(U40="",Y40="Removed",Y40="Deindexed only",Y40="No action needed"),"",TODAY()-U40)</f>
        <v/>
      </c>
      <c r="Y40" s="18" t="n"/>
      <c r="Z40" s="17" t="n"/>
      <c r="AA40" s="18" t="n"/>
      <c r="AB40" s="19" t="n"/>
    </row>
    <row r="41">
      <c r="A41" s="16">
        <f>IF(C41="","",ROW()-1)</f>
        <v/>
      </c>
      <c r="B41" s="17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9" t="n"/>
      <c r="L41" s="19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7" t="n"/>
      <c r="V41" s="18" t="n"/>
      <c r="W41" s="20">
        <f>IF(U41="","",U41+Summary!$C$4)</f>
        <v/>
      </c>
      <c r="X41" s="16">
        <f>IF(OR(U41="",Y41="Removed",Y41="Deindexed only",Y41="No action needed"),"",TODAY()-U41)</f>
        <v/>
      </c>
      <c r="Y41" s="18" t="n"/>
      <c r="Z41" s="17" t="n"/>
      <c r="AA41" s="18" t="n"/>
      <c r="AB41" s="19" t="n"/>
    </row>
    <row r="42">
      <c r="A42" s="16">
        <f>IF(C42="","",ROW()-1)</f>
        <v/>
      </c>
      <c r="B42" s="17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9" t="n"/>
      <c r="L42" s="19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7" t="n"/>
      <c r="V42" s="18" t="n"/>
      <c r="W42" s="20">
        <f>IF(U42="","",U42+Summary!$C$4)</f>
        <v/>
      </c>
      <c r="X42" s="16">
        <f>IF(OR(U42="",Y42="Removed",Y42="Deindexed only",Y42="No action needed"),"",TODAY()-U42)</f>
        <v/>
      </c>
      <c r="Y42" s="18" t="n"/>
      <c r="Z42" s="17" t="n"/>
      <c r="AA42" s="18" t="n"/>
      <c r="AB42" s="19" t="n"/>
    </row>
    <row r="43">
      <c r="A43" s="16">
        <f>IF(C43="","",ROW()-1)</f>
        <v/>
      </c>
      <c r="B43" s="17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9" t="n"/>
      <c r="L43" s="19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7" t="n"/>
      <c r="V43" s="18" t="n"/>
      <c r="W43" s="20">
        <f>IF(U43="","",U43+Summary!$C$4)</f>
        <v/>
      </c>
      <c r="X43" s="16">
        <f>IF(OR(U43="",Y43="Removed",Y43="Deindexed only",Y43="No action needed"),"",TODAY()-U43)</f>
        <v/>
      </c>
      <c r="Y43" s="18" t="n"/>
      <c r="Z43" s="17" t="n"/>
      <c r="AA43" s="18" t="n"/>
      <c r="AB43" s="19" t="n"/>
    </row>
    <row r="44">
      <c r="A44" s="16">
        <f>IF(C44="","",ROW()-1)</f>
        <v/>
      </c>
      <c r="B44" s="17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9" t="n"/>
      <c r="L44" s="19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7" t="n"/>
      <c r="V44" s="18" t="n"/>
      <c r="W44" s="20">
        <f>IF(U44="","",U44+Summary!$C$4)</f>
        <v/>
      </c>
      <c r="X44" s="16">
        <f>IF(OR(U44="",Y44="Removed",Y44="Deindexed only",Y44="No action needed"),"",TODAY()-U44)</f>
        <v/>
      </c>
      <c r="Y44" s="18" t="n"/>
      <c r="Z44" s="17" t="n"/>
      <c r="AA44" s="18" t="n"/>
      <c r="AB44" s="19" t="n"/>
    </row>
    <row r="45">
      <c r="A45" s="16">
        <f>IF(C45="","",ROW()-1)</f>
        <v/>
      </c>
      <c r="B45" s="17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9" t="n"/>
      <c r="L45" s="19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7" t="n"/>
      <c r="V45" s="18" t="n"/>
      <c r="W45" s="20">
        <f>IF(U45="","",U45+Summary!$C$4)</f>
        <v/>
      </c>
      <c r="X45" s="16">
        <f>IF(OR(U45="",Y45="Removed",Y45="Deindexed only",Y45="No action needed"),"",TODAY()-U45)</f>
        <v/>
      </c>
      <c r="Y45" s="18" t="n"/>
      <c r="Z45" s="17" t="n"/>
      <c r="AA45" s="18" t="n"/>
      <c r="AB45" s="19" t="n"/>
    </row>
    <row r="46">
      <c r="A46" s="16">
        <f>IF(C46="","",ROW()-1)</f>
        <v/>
      </c>
      <c r="B46" s="17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9" t="n"/>
      <c r="L46" s="19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7" t="n"/>
      <c r="V46" s="18" t="n"/>
      <c r="W46" s="20">
        <f>IF(U46="","",U46+Summary!$C$4)</f>
        <v/>
      </c>
      <c r="X46" s="16">
        <f>IF(OR(U46="",Y46="Removed",Y46="Deindexed only",Y46="No action needed"),"",TODAY()-U46)</f>
        <v/>
      </c>
      <c r="Y46" s="18" t="n"/>
      <c r="Z46" s="17" t="n"/>
      <c r="AA46" s="18" t="n"/>
      <c r="AB46" s="19" t="n"/>
    </row>
    <row r="47">
      <c r="A47" s="16">
        <f>IF(C47="","",ROW()-1)</f>
        <v/>
      </c>
      <c r="B47" s="17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9" t="n"/>
      <c r="L47" s="19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7" t="n"/>
      <c r="V47" s="18" t="n"/>
      <c r="W47" s="20">
        <f>IF(U47="","",U47+Summary!$C$4)</f>
        <v/>
      </c>
      <c r="X47" s="16">
        <f>IF(OR(U47="",Y47="Removed",Y47="Deindexed only",Y47="No action needed"),"",TODAY()-U47)</f>
        <v/>
      </c>
      <c r="Y47" s="18" t="n"/>
      <c r="Z47" s="17" t="n"/>
      <c r="AA47" s="18" t="n"/>
      <c r="AB47" s="19" t="n"/>
    </row>
    <row r="48">
      <c r="A48" s="16">
        <f>IF(C48="","",ROW()-1)</f>
        <v/>
      </c>
      <c r="B48" s="17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9" t="n"/>
      <c r="L48" s="19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7" t="n"/>
      <c r="V48" s="18" t="n"/>
      <c r="W48" s="20">
        <f>IF(U48="","",U48+Summary!$C$4)</f>
        <v/>
      </c>
      <c r="X48" s="16">
        <f>IF(OR(U48="",Y48="Removed",Y48="Deindexed only",Y48="No action needed"),"",TODAY()-U48)</f>
        <v/>
      </c>
      <c r="Y48" s="18" t="n"/>
      <c r="Z48" s="17" t="n"/>
      <c r="AA48" s="18" t="n"/>
      <c r="AB48" s="19" t="n"/>
    </row>
    <row r="49">
      <c r="A49" s="16">
        <f>IF(C49="","",ROW()-1)</f>
        <v/>
      </c>
      <c r="B49" s="17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9" t="n"/>
      <c r="L49" s="19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7" t="n"/>
      <c r="V49" s="18" t="n"/>
      <c r="W49" s="20">
        <f>IF(U49="","",U49+Summary!$C$4)</f>
        <v/>
      </c>
      <c r="X49" s="16">
        <f>IF(OR(U49="",Y49="Removed",Y49="Deindexed only",Y49="No action needed"),"",TODAY()-U49)</f>
        <v/>
      </c>
      <c r="Y49" s="18" t="n"/>
      <c r="Z49" s="17" t="n"/>
      <c r="AA49" s="18" t="n"/>
      <c r="AB49" s="19" t="n"/>
    </row>
    <row r="50">
      <c r="A50" s="16">
        <f>IF(C50="","",ROW()-1)</f>
        <v/>
      </c>
      <c r="B50" s="17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9" t="n"/>
      <c r="L50" s="19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7" t="n"/>
      <c r="V50" s="18" t="n"/>
      <c r="W50" s="20">
        <f>IF(U50="","",U50+Summary!$C$4)</f>
        <v/>
      </c>
      <c r="X50" s="16">
        <f>IF(OR(U50="",Y50="Removed",Y50="Deindexed only",Y50="No action needed"),"",TODAY()-U50)</f>
        <v/>
      </c>
      <c r="Y50" s="18" t="n"/>
      <c r="Z50" s="17" t="n"/>
      <c r="AA50" s="18" t="n"/>
      <c r="AB50" s="19" t="n"/>
    </row>
    <row r="51">
      <c r="A51" s="16">
        <f>IF(C51="","",ROW()-1)</f>
        <v/>
      </c>
      <c r="B51" s="17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9" t="n"/>
      <c r="L51" s="19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7" t="n"/>
      <c r="V51" s="18" t="n"/>
      <c r="W51" s="20">
        <f>IF(U51="","",U51+Summary!$C$4)</f>
        <v/>
      </c>
      <c r="X51" s="16">
        <f>IF(OR(U51="",Y51="Removed",Y51="Deindexed only",Y51="No action needed"),"",TODAY()-U51)</f>
        <v/>
      </c>
      <c r="Y51" s="18" t="n"/>
      <c r="Z51" s="17" t="n"/>
      <c r="AA51" s="18" t="n"/>
      <c r="AB51" s="19" t="n"/>
    </row>
    <row r="52">
      <c r="A52" s="16">
        <f>IF(C52="","",ROW()-1)</f>
        <v/>
      </c>
      <c r="B52" s="17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9" t="n"/>
      <c r="L52" s="19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7" t="n"/>
      <c r="V52" s="18" t="n"/>
      <c r="W52" s="20">
        <f>IF(U52="","",U52+Summary!$C$4)</f>
        <v/>
      </c>
      <c r="X52" s="16">
        <f>IF(OR(U52="",Y52="Removed",Y52="Deindexed only",Y52="No action needed"),"",TODAY()-U52)</f>
        <v/>
      </c>
      <c r="Y52" s="18" t="n"/>
      <c r="Z52" s="17" t="n"/>
      <c r="AA52" s="18" t="n"/>
      <c r="AB52" s="19" t="n"/>
    </row>
    <row r="53">
      <c r="A53" s="16">
        <f>IF(C53="","",ROW()-1)</f>
        <v/>
      </c>
      <c r="B53" s="17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9" t="n"/>
      <c r="L53" s="19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7" t="n"/>
      <c r="V53" s="18" t="n"/>
      <c r="W53" s="20">
        <f>IF(U53="","",U53+Summary!$C$4)</f>
        <v/>
      </c>
      <c r="X53" s="16">
        <f>IF(OR(U53="",Y53="Removed",Y53="Deindexed only",Y53="No action needed"),"",TODAY()-U53)</f>
        <v/>
      </c>
      <c r="Y53" s="18" t="n"/>
      <c r="Z53" s="17" t="n"/>
      <c r="AA53" s="18" t="n"/>
      <c r="AB53" s="19" t="n"/>
    </row>
    <row r="54">
      <c r="A54" s="16">
        <f>IF(C54="","",ROW()-1)</f>
        <v/>
      </c>
      <c r="B54" s="17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9" t="n"/>
      <c r="L54" s="19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7" t="n"/>
      <c r="V54" s="18" t="n"/>
      <c r="W54" s="20">
        <f>IF(U54="","",U54+Summary!$C$4)</f>
        <v/>
      </c>
      <c r="X54" s="16">
        <f>IF(OR(U54="",Y54="Removed",Y54="Deindexed only",Y54="No action needed"),"",TODAY()-U54)</f>
        <v/>
      </c>
      <c r="Y54" s="18" t="n"/>
      <c r="Z54" s="17" t="n"/>
      <c r="AA54" s="18" t="n"/>
      <c r="AB54" s="19" t="n"/>
    </row>
    <row r="55">
      <c r="A55" s="16">
        <f>IF(C55="","",ROW()-1)</f>
        <v/>
      </c>
      <c r="B55" s="17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9" t="n"/>
      <c r="L55" s="19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7" t="n"/>
      <c r="V55" s="18" t="n"/>
      <c r="W55" s="20">
        <f>IF(U55="","",U55+Summary!$C$4)</f>
        <v/>
      </c>
      <c r="X55" s="16">
        <f>IF(OR(U55="",Y55="Removed",Y55="Deindexed only",Y55="No action needed"),"",TODAY()-U55)</f>
        <v/>
      </c>
      <c r="Y55" s="18" t="n"/>
      <c r="Z55" s="17" t="n"/>
      <c r="AA55" s="18" t="n"/>
      <c r="AB55" s="19" t="n"/>
    </row>
    <row r="56">
      <c r="A56" s="16">
        <f>IF(C56="","",ROW()-1)</f>
        <v/>
      </c>
      <c r="B56" s="17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  <c r="L56" s="19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7" t="n"/>
      <c r="V56" s="18" t="n"/>
      <c r="W56" s="20">
        <f>IF(U56="","",U56+Summary!$C$4)</f>
        <v/>
      </c>
      <c r="X56" s="16">
        <f>IF(OR(U56="",Y56="Removed",Y56="Deindexed only",Y56="No action needed"),"",TODAY()-U56)</f>
        <v/>
      </c>
      <c r="Y56" s="18" t="n"/>
      <c r="Z56" s="17" t="n"/>
      <c r="AA56" s="18" t="n"/>
      <c r="AB56" s="19" t="n"/>
    </row>
    <row r="57">
      <c r="A57" s="16">
        <f>IF(C57="","",ROW()-1)</f>
        <v/>
      </c>
      <c r="B57" s="17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9" t="n"/>
      <c r="L57" s="19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7" t="n"/>
      <c r="V57" s="18" t="n"/>
      <c r="W57" s="20">
        <f>IF(U57="","",U57+Summary!$C$4)</f>
        <v/>
      </c>
      <c r="X57" s="16">
        <f>IF(OR(U57="",Y57="Removed",Y57="Deindexed only",Y57="No action needed"),"",TODAY()-U57)</f>
        <v/>
      </c>
      <c r="Y57" s="18" t="n"/>
      <c r="Z57" s="17" t="n"/>
      <c r="AA57" s="18" t="n"/>
      <c r="AB57" s="19" t="n"/>
    </row>
    <row r="58">
      <c r="A58" s="16">
        <f>IF(C58="","",ROW()-1)</f>
        <v/>
      </c>
      <c r="B58" s="17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9" t="n"/>
      <c r="L58" s="19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7" t="n"/>
      <c r="V58" s="18" t="n"/>
      <c r="W58" s="20">
        <f>IF(U58="","",U58+Summary!$C$4)</f>
        <v/>
      </c>
      <c r="X58" s="16">
        <f>IF(OR(U58="",Y58="Removed",Y58="Deindexed only",Y58="No action needed"),"",TODAY()-U58)</f>
        <v/>
      </c>
      <c r="Y58" s="18" t="n"/>
      <c r="Z58" s="17" t="n"/>
      <c r="AA58" s="18" t="n"/>
      <c r="AB58" s="19" t="n"/>
    </row>
    <row r="59">
      <c r="A59" s="16">
        <f>IF(C59="","",ROW()-1)</f>
        <v/>
      </c>
      <c r="B59" s="17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9" t="n"/>
      <c r="L59" s="19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7" t="n"/>
      <c r="V59" s="18" t="n"/>
      <c r="W59" s="20">
        <f>IF(U59="","",U59+Summary!$C$4)</f>
        <v/>
      </c>
      <c r="X59" s="16">
        <f>IF(OR(U59="",Y59="Removed",Y59="Deindexed only",Y59="No action needed"),"",TODAY()-U59)</f>
        <v/>
      </c>
      <c r="Y59" s="18" t="n"/>
      <c r="Z59" s="17" t="n"/>
      <c r="AA59" s="18" t="n"/>
      <c r="AB59" s="19" t="n"/>
    </row>
    <row r="60">
      <c r="A60" s="16">
        <f>IF(C60="","",ROW()-1)</f>
        <v/>
      </c>
      <c r="B60" s="17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9" t="n"/>
      <c r="L60" s="19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7" t="n"/>
      <c r="V60" s="18" t="n"/>
      <c r="W60" s="20">
        <f>IF(U60="","",U60+Summary!$C$4)</f>
        <v/>
      </c>
      <c r="X60" s="16">
        <f>IF(OR(U60="",Y60="Removed",Y60="Deindexed only",Y60="No action needed"),"",TODAY()-U60)</f>
        <v/>
      </c>
      <c r="Y60" s="18" t="n"/>
      <c r="Z60" s="17" t="n"/>
      <c r="AA60" s="18" t="n"/>
      <c r="AB60" s="19" t="n"/>
    </row>
    <row r="61">
      <c r="A61" s="16">
        <f>IF(C61="","",ROW()-1)</f>
        <v/>
      </c>
      <c r="B61" s="17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9" t="n"/>
      <c r="L61" s="19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7" t="n"/>
      <c r="V61" s="18" t="n"/>
      <c r="W61" s="20">
        <f>IF(U61="","",U61+Summary!$C$4)</f>
        <v/>
      </c>
      <c r="X61" s="16">
        <f>IF(OR(U61="",Y61="Removed",Y61="Deindexed only",Y61="No action needed"),"",TODAY()-U61)</f>
        <v/>
      </c>
      <c r="Y61" s="18" t="n"/>
      <c r="Z61" s="17" t="n"/>
      <c r="AA61" s="18" t="n"/>
      <c r="AB61" s="19" t="n"/>
    </row>
    <row r="62">
      <c r="A62" s="16">
        <f>IF(C62="","",ROW()-1)</f>
        <v/>
      </c>
      <c r="B62" s="17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9" t="n"/>
      <c r="L62" s="19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7" t="n"/>
      <c r="V62" s="18" t="n"/>
      <c r="W62" s="20">
        <f>IF(U62="","",U62+Summary!$C$4)</f>
        <v/>
      </c>
      <c r="X62" s="16">
        <f>IF(OR(U62="",Y62="Removed",Y62="Deindexed only",Y62="No action needed"),"",TODAY()-U62)</f>
        <v/>
      </c>
      <c r="Y62" s="18" t="n"/>
      <c r="Z62" s="17" t="n"/>
      <c r="AA62" s="18" t="n"/>
      <c r="AB62" s="19" t="n"/>
    </row>
    <row r="63">
      <c r="A63" s="16">
        <f>IF(C63="","",ROW()-1)</f>
        <v/>
      </c>
      <c r="B63" s="17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9" t="n"/>
      <c r="L63" s="19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7" t="n"/>
      <c r="V63" s="18" t="n"/>
      <c r="W63" s="20">
        <f>IF(U63="","",U63+Summary!$C$4)</f>
        <v/>
      </c>
      <c r="X63" s="16">
        <f>IF(OR(U63="",Y63="Removed",Y63="Deindexed only",Y63="No action needed"),"",TODAY()-U63)</f>
        <v/>
      </c>
      <c r="Y63" s="18" t="n"/>
      <c r="Z63" s="17" t="n"/>
      <c r="AA63" s="18" t="n"/>
      <c r="AB63" s="19" t="n"/>
    </row>
    <row r="64">
      <c r="A64" s="16">
        <f>IF(C64="","",ROW()-1)</f>
        <v/>
      </c>
      <c r="B64" s="17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9" t="n"/>
      <c r="L64" s="19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7" t="n"/>
      <c r="V64" s="18" t="n"/>
      <c r="W64" s="20">
        <f>IF(U64="","",U64+Summary!$C$4)</f>
        <v/>
      </c>
      <c r="X64" s="16">
        <f>IF(OR(U64="",Y64="Removed",Y64="Deindexed only",Y64="No action needed"),"",TODAY()-U64)</f>
        <v/>
      </c>
      <c r="Y64" s="18" t="n"/>
      <c r="Z64" s="17" t="n"/>
      <c r="AA64" s="18" t="n"/>
      <c r="AB64" s="19" t="n"/>
    </row>
    <row r="65">
      <c r="A65" s="16">
        <f>IF(C65="","",ROW()-1)</f>
        <v/>
      </c>
      <c r="B65" s="17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9" t="n"/>
      <c r="L65" s="19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7" t="n"/>
      <c r="V65" s="18" t="n"/>
      <c r="W65" s="20">
        <f>IF(U65="","",U65+Summary!$C$4)</f>
        <v/>
      </c>
      <c r="X65" s="16">
        <f>IF(OR(U65="",Y65="Removed",Y65="Deindexed only",Y65="No action needed"),"",TODAY()-U65)</f>
        <v/>
      </c>
      <c r="Y65" s="18" t="n"/>
      <c r="Z65" s="17" t="n"/>
      <c r="AA65" s="18" t="n"/>
      <c r="AB65" s="19" t="n"/>
    </row>
    <row r="66">
      <c r="A66" s="16">
        <f>IF(C66="","",ROW()-1)</f>
        <v/>
      </c>
      <c r="B66" s="17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9" t="n"/>
      <c r="L66" s="19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7" t="n"/>
      <c r="V66" s="18" t="n"/>
      <c r="W66" s="20">
        <f>IF(U66="","",U66+Summary!$C$4)</f>
        <v/>
      </c>
      <c r="X66" s="16">
        <f>IF(OR(U66="",Y66="Removed",Y66="Deindexed only",Y66="No action needed"),"",TODAY()-U66)</f>
        <v/>
      </c>
      <c r="Y66" s="18" t="n"/>
      <c r="Z66" s="17" t="n"/>
      <c r="AA66" s="18" t="n"/>
      <c r="AB66" s="19" t="n"/>
    </row>
    <row r="67">
      <c r="A67" s="16">
        <f>IF(C67="","",ROW()-1)</f>
        <v/>
      </c>
      <c r="B67" s="17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9" t="n"/>
      <c r="L67" s="19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7" t="n"/>
      <c r="V67" s="18" t="n"/>
      <c r="W67" s="20">
        <f>IF(U67="","",U67+Summary!$C$4)</f>
        <v/>
      </c>
      <c r="X67" s="16">
        <f>IF(OR(U67="",Y67="Removed",Y67="Deindexed only",Y67="No action needed"),"",TODAY()-U67)</f>
        <v/>
      </c>
      <c r="Y67" s="18" t="n"/>
      <c r="Z67" s="17" t="n"/>
      <c r="AA67" s="18" t="n"/>
      <c r="AB67" s="19" t="n"/>
    </row>
    <row r="68">
      <c r="A68" s="16">
        <f>IF(C68="","",ROW()-1)</f>
        <v/>
      </c>
      <c r="B68" s="17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9" t="n"/>
      <c r="L68" s="19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7" t="n"/>
      <c r="V68" s="18" t="n"/>
      <c r="W68" s="20">
        <f>IF(U68="","",U68+Summary!$C$4)</f>
        <v/>
      </c>
      <c r="X68" s="16">
        <f>IF(OR(U68="",Y68="Removed",Y68="Deindexed only",Y68="No action needed"),"",TODAY()-U68)</f>
        <v/>
      </c>
      <c r="Y68" s="18" t="n"/>
      <c r="Z68" s="17" t="n"/>
      <c r="AA68" s="18" t="n"/>
      <c r="AB68" s="19" t="n"/>
    </row>
    <row r="69">
      <c r="A69" s="16">
        <f>IF(C69="","",ROW()-1)</f>
        <v/>
      </c>
      <c r="B69" s="17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9" t="n"/>
      <c r="L69" s="19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7" t="n"/>
      <c r="V69" s="18" t="n"/>
      <c r="W69" s="20">
        <f>IF(U69="","",U69+Summary!$C$4)</f>
        <v/>
      </c>
      <c r="X69" s="16">
        <f>IF(OR(U69="",Y69="Removed",Y69="Deindexed only",Y69="No action needed"),"",TODAY()-U69)</f>
        <v/>
      </c>
      <c r="Y69" s="18" t="n"/>
      <c r="Z69" s="17" t="n"/>
      <c r="AA69" s="18" t="n"/>
      <c r="AB69" s="19" t="n"/>
    </row>
    <row r="70">
      <c r="A70" s="16">
        <f>IF(C70="","",ROW()-1)</f>
        <v/>
      </c>
      <c r="B70" s="17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9" t="n"/>
      <c r="L70" s="19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7" t="n"/>
      <c r="V70" s="18" t="n"/>
      <c r="W70" s="20">
        <f>IF(U70="","",U70+Summary!$C$4)</f>
        <v/>
      </c>
      <c r="X70" s="16">
        <f>IF(OR(U70="",Y70="Removed",Y70="Deindexed only",Y70="No action needed"),"",TODAY()-U70)</f>
        <v/>
      </c>
      <c r="Y70" s="18" t="n"/>
      <c r="Z70" s="17" t="n"/>
      <c r="AA70" s="18" t="n"/>
      <c r="AB70" s="19" t="n"/>
    </row>
    <row r="71">
      <c r="A71" s="16">
        <f>IF(C71="","",ROW()-1)</f>
        <v/>
      </c>
      <c r="B71" s="17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9" t="n"/>
      <c r="L71" s="19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7" t="n"/>
      <c r="V71" s="18" t="n"/>
      <c r="W71" s="20">
        <f>IF(U71="","",U71+Summary!$C$4)</f>
        <v/>
      </c>
      <c r="X71" s="16">
        <f>IF(OR(U71="",Y71="Removed",Y71="Deindexed only",Y71="No action needed"),"",TODAY()-U71)</f>
        <v/>
      </c>
      <c r="Y71" s="18" t="n"/>
      <c r="Z71" s="17" t="n"/>
      <c r="AA71" s="18" t="n"/>
      <c r="AB71" s="19" t="n"/>
    </row>
    <row r="72">
      <c r="A72" s="16">
        <f>IF(C72="","",ROW()-1)</f>
        <v/>
      </c>
      <c r="B72" s="17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9" t="n"/>
      <c r="L72" s="19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7" t="n"/>
      <c r="V72" s="18" t="n"/>
      <c r="W72" s="20">
        <f>IF(U72="","",U72+Summary!$C$4)</f>
        <v/>
      </c>
      <c r="X72" s="16">
        <f>IF(OR(U72="",Y72="Removed",Y72="Deindexed only",Y72="No action needed"),"",TODAY()-U72)</f>
        <v/>
      </c>
      <c r="Y72" s="18" t="n"/>
      <c r="Z72" s="17" t="n"/>
      <c r="AA72" s="18" t="n"/>
      <c r="AB72" s="19" t="n"/>
    </row>
    <row r="73">
      <c r="A73" s="16">
        <f>IF(C73="","",ROW()-1)</f>
        <v/>
      </c>
      <c r="B73" s="17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9" t="n"/>
      <c r="L73" s="19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7" t="n"/>
      <c r="V73" s="18" t="n"/>
      <c r="W73" s="20">
        <f>IF(U73="","",U73+Summary!$C$4)</f>
        <v/>
      </c>
      <c r="X73" s="16">
        <f>IF(OR(U73="",Y73="Removed",Y73="Deindexed only",Y73="No action needed"),"",TODAY()-U73)</f>
        <v/>
      </c>
      <c r="Y73" s="18" t="n"/>
      <c r="Z73" s="17" t="n"/>
      <c r="AA73" s="18" t="n"/>
      <c r="AB73" s="19" t="n"/>
    </row>
    <row r="74">
      <c r="A74" s="16">
        <f>IF(C74="","",ROW()-1)</f>
        <v/>
      </c>
      <c r="B74" s="17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9" t="n"/>
      <c r="L74" s="19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7" t="n"/>
      <c r="V74" s="18" t="n"/>
      <c r="W74" s="20">
        <f>IF(U74="","",U74+Summary!$C$4)</f>
        <v/>
      </c>
      <c r="X74" s="16">
        <f>IF(OR(U74="",Y74="Removed",Y74="Deindexed only",Y74="No action needed"),"",TODAY()-U74)</f>
        <v/>
      </c>
      <c r="Y74" s="18" t="n"/>
      <c r="Z74" s="17" t="n"/>
      <c r="AA74" s="18" t="n"/>
      <c r="AB74" s="19" t="n"/>
    </row>
    <row r="75">
      <c r="A75" s="16">
        <f>IF(C75="","",ROW()-1)</f>
        <v/>
      </c>
      <c r="B75" s="17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9" t="n"/>
      <c r="L75" s="19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7" t="n"/>
      <c r="V75" s="18" t="n"/>
      <c r="W75" s="20">
        <f>IF(U75="","",U75+Summary!$C$4)</f>
        <v/>
      </c>
      <c r="X75" s="16">
        <f>IF(OR(U75="",Y75="Removed",Y75="Deindexed only",Y75="No action needed"),"",TODAY()-U75)</f>
        <v/>
      </c>
      <c r="Y75" s="18" t="n"/>
      <c r="Z75" s="17" t="n"/>
      <c r="AA75" s="18" t="n"/>
      <c r="AB75" s="19" t="n"/>
    </row>
    <row r="76">
      <c r="A76" s="16">
        <f>IF(C76="","",ROW()-1)</f>
        <v/>
      </c>
      <c r="B76" s="17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9" t="n"/>
      <c r="L76" s="19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7" t="n"/>
      <c r="V76" s="18" t="n"/>
      <c r="W76" s="20">
        <f>IF(U76="","",U76+Summary!$C$4)</f>
        <v/>
      </c>
      <c r="X76" s="16">
        <f>IF(OR(U76="",Y76="Removed",Y76="Deindexed only",Y76="No action needed"),"",TODAY()-U76)</f>
        <v/>
      </c>
      <c r="Y76" s="18" t="n"/>
      <c r="Z76" s="17" t="n"/>
      <c r="AA76" s="18" t="n"/>
      <c r="AB76" s="19" t="n"/>
    </row>
    <row r="77">
      <c r="A77" s="16">
        <f>IF(C77="","",ROW()-1)</f>
        <v/>
      </c>
      <c r="B77" s="17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9" t="n"/>
      <c r="L77" s="19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7" t="n"/>
      <c r="V77" s="18" t="n"/>
      <c r="W77" s="20">
        <f>IF(U77="","",U77+Summary!$C$4)</f>
        <v/>
      </c>
      <c r="X77" s="16">
        <f>IF(OR(U77="",Y77="Removed",Y77="Deindexed only",Y77="No action needed"),"",TODAY()-U77)</f>
        <v/>
      </c>
      <c r="Y77" s="18" t="n"/>
      <c r="Z77" s="17" t="n"/>
      <c r="AA77" s="18" t="n"/>
      <c r="AB77" s="19" t="n"/>
    </row>
    <row r="78">
      <c r="A78" s="16">
        <f>IF(C78="","",ROW()-1)</f>
        <v/>
      </c>
      <c r="B78" s="17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9" t="n"/>
      <c r="L78" s="19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7" t="n"/>
      <c r="V78" s="18" t="n"/>
      <c r="W78" s="20">
        <f>IF(U78="","",U78+Summary!$C$4)</f>
        <v/>
      </c>
      <c r="X78" s="16">
        <f>IF(OR(U78="",Y78="Removed",Y78="Deindexed only",Y78="No action needed"),"",TODAY()-U78)</f>
        <v/>
      </c>
      <c r="Y78" s="18" t="n"/>
      <c r="Z78" s="17" t="n"/>
      <c r="AA78" s="18" t="n"/>
      <c r="AB78" s="19" t="n"/>
    </row>
    <row r="79">
      <c r="A79" s="16">
        <f>IF(C79="","",ROW()-1)</f>
        <v/>
      </c>
      <c r="B79" s="17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9" t="n"/>
      <c r="L79" s="19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7" t="n"/>
      <c r="V79" s="18" t="n"/>
      <c r="W79" s="20">
        <f>IF(U79="","",U79+Summary!$C$4)</f>
        <v/>
      </c>
      <c r="X79" s="16">
        <f>IF(OR(U79="",Y79="Removed",Y79="Deindexed only",Y79="No action needed"),"",TODAY()-U79)</f>
        <v/>
      </c>
      <c r="Y79" s="18" t="n"/>
      <c r="Z79" s="17" t="n"/>
      <c r="AA79" s="18" t="n"/>
      <c r="AB79" s="19" t="n"/>
    </row>
    <row r="80">
      <c r="A80" s="16">
        <f>IF(C80="","",ROW()-1)</f>
        <v/>
      </c>
      <c r="B80" s="17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9" t="n"/>
      <c r="L80" s="19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7" t="n"/>
      <c r="V80" s="18" t="n"/>
      <c r="W80" s="20">
        <f>IF(U80="","",U80+Summary!$C$4)</f>
        <v/>
      </c>
      <c r="X80" s="16">
        <f>IF(OR(U80="",Y80="Removed",Y80="Deindexed only",Y80="No action needed"),"",TODAY()-U80)</f>
        <v/>
      </c>
      <c r="Y80" s="18" t="n"/>
      <c r="Z80" s="17" t="n"/>
      <c r="AA80" s="18" t="n"/>
      <c r="AB80" s="19" t="n"/>
    </row>
    <row r="81">
      <c r="A81" s="16">
        <f>IF(C81="","",ROW()-1)</f>
        <v/>
      </c>
      <c r="B81" s="17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9" t="n"/>
      <c r="L81" s="19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7" t="n"/>
      <c r="V81" s="18" t="n"/>
      <c r="W81" s="20">
        <f>IF(U81="","",U81+Summary!$C$4)</f>
        <v/>
      </c>
      <c r="X81" s="16">
        <f>IF(OR(U81="",Y81="Removed",Y81="Deindexed only",Y81="No action needed"),"",TODAY()-U81)</f>
        <v/>
      </c>
      <c r="Y81" s="18" t="n"/>
      <c r="Z81" s="17" t="n"/>
      <c r="AA81" s="18" t="n"/>
      <c r="AB81" s="19" t="n"/>
    </row>
    <row r="82">
      <c r="A82" s="16">
        <f>IF(C82="","",ROW()-1)</f>
        <v/>
      </c>
      <c r="B82" s="17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9" t="n"/>
      <c r="L82" s="19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7" t="n"/>
      <c r="V82" s="18" t="n"/>
      <c r="W82" s="20">
        <f>IF(U82="","",U82+Summary!$C$4)</f>
        <v/>
      </c>
      <c r="X82" s="16">
        <f>IF(OR(U82="",Y82="Removed",Y82="Deindexed only",Y82="No action needed"),"",TODAY()-U82)</f>
        <v/>
      </c>
      <c r="Y82" s="18" t="n"/>
      <c r="Z82" s="17" t="n"/>
      <c r="AA82" s="18" t="n"/>
      <c r="AB82" s="19" t="n"/>
    </row>
    <row r="83">
      <c r="A83" s="16">
        <f>IF(C83="","",ROW()-1)</f>
        <v/>
      </c>
      <c r="B83" s="17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9" t="n"/>
      <c r="L83" s="19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7" t="n"/>
      <c r="V83" s="18" t="n"/>
      <c r="W83" s="20">
        <f>IF(U83="","",U83+Summary!$C$4)</f>
        <v/>
      </c>
      <c r="X83" s="16">
        <f>IF(OR(U83="",Y83="Removed",Y83="Deindexed only",Y83="No action needed"),"",TODAY()-U83)</f>
        <v/>
      </c>
      <c r="Y83" s="18" t="n"/>
      <c r="Z83" s="17" t="n"/>
      <c r="AA83" s="18" t="n"/>
      <c r="AB83" s="19" t="n"/>
    </row>
    <row r="84">
      <c r="A84" s="16">
        <f>IF(C84="","",ROW()-1)</f>
        <v/>
      </c>
      <c r="B84" s="17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9" t="n"/>
      <c r="L84" s="19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7" t="n"/>
      <c r="V84" s="18" t="n"/>
      <c r="W84" s="20">
        <f>IF(U84="","",U84+Summary!$C$4)</f>
        <v/>
      </c>
      <c r="X84" s="16">
        <f>IF(OR(U84="",Y84="Removed",Y84="Deindexed only",Y84="No action needed"),"",TODAY()-U84)</f>
        <v/>
      </c>
      <c r="Y84" s="18" t="n"/>
      <c r="Z84" s="17" t="n"/>
      <c r="AA84" s="18" t="n"/>
      <c r="AB84" s="19" t="n"/>
    </row>
    <row r="85">
      <c r="A85" s="16">
        <f>IF(C85="","",ROW()-1)</f>
        <v/>
      </c>
      <c r="B85" s="17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9" t="n"/>
      <c r="L85" s="19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7" t="n"/>
      <c r="V85" s="18" t="n"/>
      <c r="W85" s="20">
        <f>IF(U85="","",U85+Summary!$C$4)</f>
        <v/>
      </c>
      <c r="X85" s="16">
        <f>IF(OR(U85="",Y85="Removed",Y85="Deindexed only",Y85="No action needed"),"",TODAY()-U85)</f>
        <v/>
      </c>
      <c r="Y85" s="18" t="n"/>
      <c r="Z85" s="17" t="n"/>
      <c r="AA85" s="18" t="n"/>
      <c r="AB85" s="19" t="n"/>
    </row>
    <row r="86">
      <c r="A86" s="16">
        <f>IF(C86="","",ROW()-1)</f>
        <v/>
      </c>
      <c r="B86" s="17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9" t="n"/>
      <c r="L86" s="19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7" t="n"/>
      <c r="V86" s="18" t="n"/>
      <c r="W86" s="20">
        <f>IF(U86="","",U86+Summary!$C$4)</f>
        <v/>
      </c>
      <c r="X86" s="16">
        <f>IF(OR(U86="",Y86="Removed",Y86="Deindexed only",Y86="No action needed"),"",TODAY()-U86)</f>
        <v/>
      </c>
      <c r="Y86" s="18" t="n"/>
      <c r="Z86" s="17" t="n"/>
      <c r="AA86" s="18" t="n"/>
      <c r="AB86" s="19" t="n"/>
    </row>
    <row r="87">
      <c r="A87" s="16">
        <f>IF(C87="","",ROW()-1)</f>
        <v/>
      </c>
      <c r="B87" s="17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9" t="n"/>
      <c r="L87" s="19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7" t="n"/>
      <c r="V87" s="18" t="n"/>
      <c r="W87" s="20">
        <f>IF(U87="","",U87+Summary!$C$4)</f>
        <v/>
      </c>
      <c r="X87" s="16">
        <f>IF(OR(U87="",Y87="Removed",Y87="Deindexed only",Y87="No action needed"),"",TODAY()-U87)</f>
        <v/>
      </c>
      <c r="Y87" s="18" t="n"/>
      <c r="Z87" s="17" t="n"/>
      <c r="AA87" s="18" t="n"/>
      <c r="AB87" s="19" t="n"/>
    </row>
    <row r="88">
      <c r="A88" s="16">
        <f>IF(C88="","",ROW()-1)</f>
        <v/>
      </c>
      <c r="B88" s="17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9" t="n"/>
      <c r="L88" s="19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7" t="n"/>
      <c r="V88" s="18" t="n"/>
      <c r="W88" s="20">
        <f>IF(U88="","",U88+Summary!$C$4)</f>
        <v/>
      </c>
      <c r="X88" s="16">
        <f>IF(OR(U88="",Y88="Removed",Y88="Deindexed only",Y88="No action needed"),"",TODAY()-U88)</f>
        <v/>
      </c>
      <c r="Y88" s="18" t="n"/>
      <c r="Z88" s="17" t="n"/>
      <c r="AA88" s="18" t="n"/>
      <c r="AB88" s="19" t="n"/>
    </row>
    <row r="89">
      <c r="A89" s="16">
        <f>IF(C89="","",ROW()-1)</f>
        <v/>
      </c>
      <c r="B89" s="17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9" t="n"/>
      <c r="L89" s="19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7" t="n"/>
      <c r="V89" s="18" t="n"/>
      <c r="W89" s="20">
        <f>IF(U89="","",U89+Summary!$C$4)</f>
        <v/>
      </c>
      <c r="X89" s="16">
        <f>IF(OR(U89="",Y89="Removed",Y89="Deindexed only",Y89="No action needed"),"",TODAY()-U89)</f>
        <v/>
      </c>
      <c r="Y89" s="18" t="n"/>
      <c r="Z89" s="17" t="n"/>
      <c r="AA89" s="18" t="n"/>
      <c r="AB89" s="19" t="n"/>
    </row>
    <row r="90">
      <c r="A90" s="16">
        <f>IF(C90="","",ROW()-1)</f>
        <v/>
      </c>
      <c r="B90" s="17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9" t="n"/>
      <c r="L90" s="19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7" t="n"/>
      <c r="V90" s="18" t="n"/>
      <c r="W90" s="20">
        <f>IF(U90="","",U90+Summary!$C$4)</f>
        <v/>
      </c>
      <c r="X90" s="16">
        <f>IF(OR(U90="",Y90="Removed",Y90="Deindexed only",Y90="No action needed"),"",TODAY()-U90)</f>
        <v/>
      </c>
      <c r="Y90" s="18" t="n"/>
      <c r="Z90" s="17" t="n"/>
      <c r="AA90" s="18" t="n"/>
      <c r="AB90" s="19" t="n"/>
    </row>
    <row r="91">
      <c r="A91" s="16">
        <f>IF(C91="","",ROW()-1)</f>
        <v/>
      </c>
      <c r="B91" s="17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9" t="n"/>
      <c r="L91" s="19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7" t="n"/>
      <c r="V91" s="18" t="n"/>
      <c r="W91" s="20">
        <f>IF(U91="","",U91+Summary!$C$4)</f>
        <v/>
      </c>
      <c r="X91" s="16">
        <f>IF(OR(U91="",Y91="Removed",Y91="Deindexed only",Y91="No action needed"),"",TODAY()-U91)</f>
        <v/>
      </c>
      <c r="Y91" s="18" t="n"/>
      <c r="Z91" s="17" t="n"/>
      <c r="AA91" s="18" t="n"/>
      <c r="AB91" s="19" t="n"/>
    </row>
    <row r="92">
      <c r="A92" s="16">
        <f>IF(C92="","",ROW()-1)</f>
        <v/>
      </c>
      <c r="B92" s="17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9" t="n"/>
      <c r="L92" s="19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7" t="n"/>
      <c r="V92" s="18" t="n"/>
      <c r="W92" s="20">
        <f>IF(U92="","",U92+Summary!$C$4)</f>
        <v/>
      </c>
      <c r="X92" s="16">
        <f>IF(OR(U92="",Y92="Removed",Y92="Deindexed only",Y92="No action needed"),"",TODAY()-U92)</f>
        <v/>
      </c>
      <c r="Y92" s="18" t="n"/>
      <c r="Z92" s="17" t="n"/>
      <c r="AA92" s="18" t="n"/>
      <c r="AB92" s="19" t="n"/>
    </row>
    <row r="93">
      <c r="A93" s="16">
        <f>IF(C93="","",ROW()-1)</f>
        <v/>
      </c>
      <c r="B93" s="17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9" t="n"/>
      <c r="L93" s="19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7" t="n"/>
      <c r="V93" s="18" t="n"/>
      <c r="W93" s="20">
        <f>IF(U93="","",U93+Summary!$C$4)</f>
        <v/>
      </c>
      <c r="X93" s="16">
        <f>IF(OR(U93="",Y93="Removed",Y93="Deindexed only",Y93="No action needed"),"",TODAY()-U93)</f>
        <v/>
      </c>
      <c r="Y93" s="18" t="n"/>
      <c r="Z93" s="17" t="n"/>
      <c r="AA93" s="18" t="n"/>
      <c r="AB93" s="19" t="n"/>
    </row>
    <row r="94">
      <c r="A94" s="16">
        <f>IF(C94="","",ROW()-1)</f>
        <v/>
      </c>
      <c r="B94" s="17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9" t="n"/>
      <c r="L94" s="19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7" t="n"/>
      <c r="V94" s="18" t="n"/>
      <c r="W94" s="20">
        <f>IF(U94="","",U94+Summary!$C$4)</f>
        <v/>
      </c>
      <c r="X94" s="16">
        <f>IF(OR(U94="",Y94="Removed",Y94="Deindexed only",Y94="No action needed"),"",TODAY()-U94)</f>
        <v/>
      </c>
      <c r="Y94" s="18" t="n"/>
      <c r="Z94" s="17" t="n"/>
      <c r="AA94" s="18" t="n"/>
      <c r="AB94" s="19" t="n"/>
    </row>
    <row r="95">
      <c r="A95" s="16">
        <f>IF(C95="","",ROW()-1)</f>
        <v/>
      </c>
      <c r="B95" s="17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9" t="n"/>
      <c r="L95" s="19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7" t="n"/>
      <c r="V95" s="18" t="n"/>
      <c r="W95" s="20">
        <f>IF(U95="","",U95+Summary!$C$4)</f>
        <v/>
      </c>
      <c r="X95" s="16">
        <f>IF(OR(U95="",Y95="Removed",Y95="Deindexed only",Y95="No action needed"),"",TODAY()-U95)</f>
        <v/>
      </c>
      <c r="Y95" s="18" t="n"/>
      <c r="Z95" s="17" t="n"/>
      <c r="AA95" s="18" t="n"/>
      <c r="AB95" s="19" t="n"/>
    </row>
    <row r="96">
      <c r="A96" s="16">
        <f>IF(C96="","",ROW()-1)</f>
        <v/>
      </c>
      <c r="B96" s="17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9" t="n"/>
      <c r="L96" s="19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7" t="n"/>
      <c r="V96" s="18" t="n"/>
      <c r="W96" s="20">
        <f>IF(U96="","",U96+Summary!$C$4)</f>
        <v/>
      </c>
      <c r="X96" s="16">
        <f>IF(OR(U96="",Y96="Removed",Y96="Deindexed only",Y96="No action needed"),"",TODAY()-U96)</f>
        <v/>
      </c>
      <c r="Y96" s="18" t="n"/>
      <c r="Z96" s="17" t="n"/>
      <c r="AA96" s="18" t="n"/>
      <c r="AB96" s="19" t="n"/>
    </row>
    <row r="97">
      <c r="A97" s="16">
        <f>IF(C97="","",ROW()-1)</f>
        <v/>
      </c>
      <c r="B97" s="17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9" t="n"/>
      <c r="L97" s="19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7" t="n"/>
      <c r="V97" s="18" t="n"/>
      <c r="W97" s="20">
        <f>IF(U97="","",U97+Summary!$C$4)</f>
        <v/>
      </c>
      <c r="X97" s="16">
        <f>IF(OR(U97="",Y97="Removed",Y97="Deindexed only",Y97="No action needed"),"",TODAY()-U97)</f>
        <v/>
      </c>
      <c r="Y97" s="18" t="n"/>
      <c r="Z97" s="17" t="n"/>
      <c r="AA97" s="18" t="n"/>
      <c r="AB97" s="19" t="n"/>
    </row>
    <row r="98">
      <c r="A98" s="16">
        <f>IF(C98="","",ROW()-1)</f>
        <v/>
      </c>
      <c r="B98" s="17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9" t="n"/>
      <c r="L98" s="19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7" t="n"/>
      <c r="V98" s="18" t="n"/>
      <c r="W98" s="20">
        <f>IF(U98="","",U98+Summary!$C$4)</f>
        <v/>
      </c>
      <c r="X98" s="16">
        <f>IF(OR(U98="",Y98="Removed",Y98="Deindexed only",Y98="No action needed"),"",TODAY()-U98)</f>
        <v/>
      </c>
      <c r="Y98" s="18" t="n"/>
      <c r="Z98" s="17" t="n"/>
      <c r="AA98" s="18" t="n"/>
      <c r="AB98" s="19" t="n"/>
    </row>
    <row r="99">
      <c r="A99" s="16">
        <f>IF(C99="","",ROW()-1)</f>
        <v/>
      </c>
      <c r="B99" s="17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9" t="n"/>
      <c r="L99" s="19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7" t="n"/>
      <c r="V99" s="18" t="n"/>
      <c r="W99" s="20">
        <f>IF(U99="","",U99+Summary!$C$4)</f>
        <v/>
      </c>
      <c r="X99" s="16">
        <f>IF(OR(U99="",Y99="Removed",Y99="Deindexed only",Y99="No action needed"),"",TODAY()-U99)</f>
        <v/>
      </c>
      <c r="Y99" s="18" t="n"/>
      <c r="Z99" s="17" t="n"/>
      <c r="AA99" s="18" t="n"/>
      <c r="AB99" s="19" t="n"/>
    </row>
    <row r="100">
      <c r="A100" s="16">
        <f>IF(C100="","",ROW()-1)</f>
        <v/>
      </c>
      <c r="B100" s="17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9" t="n"/>
      <c r="L100" s="19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7" t="n"/>
      <c r="V100" s="18" t="n"/>
      <c r="W100" s="20">
        <f>IF(U100="","",U100+Summary!$C$4)</f>
        <v/>
      </c>
      <c r="X100" s="16">
        <f>IF(OR(U100="",Y100="Removed",Y100="Deindexed only",Y100="No action needed"),"",TODAY()-U100)</f>
        <v/>
      </c>
      <c r="Y100" s="18" t="n"/>
      <c r="Z100" s="17" t="n"/>
      <c r="AA100" s="18" t="n"/>
      <c r="AB100" s="19" t="n"/>
    </row>
    <row r="101">
      <c r="A101" s="16">
        <f>IF(C101="","",ROW()-1)</f>
        <v/>
      </c>
      <c r="B101" s="17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9" t="n"/>
      <c r="L101" s="19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7" t="n"/>
      <c r="V101" s="18" t="n"/>
      <c r="W101" s="20">
        <f>IF(U101="","",U101+Summary!$C$4)</f>
        <v/>
      </c>
      <c r="X101" s="16">
        <f>IF(OR(U101="",Y101="Removed",Y101="Deindexed only",Y101="No action needed"),"",TODAY()-U101)</f>
        <v/>
      </c>
      <c r="Y101" s="18" t="n"/>
      <c r="Z101" s="17" t="n"/>
      <c r="AA101" s="18" t="n"/>
      <c r="AB101" s="19" t="n"/>
    </row>
    <row r="102">
      <c r="A102" s="16">
        <f>IF(C102="","",ROW()-1)</f>
        <v/>
      </c>
      <c r="B102" s="17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9" t="n"/>
      <c r="L102" s="19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7" t="n"/>
      <c r="V102" s="18" t="n"/>
      <c r="W102" s="20">
        <f>IF(U102="","",U102+Summary!$C$4)</f>
        <v/>
      </c>
      <c r="X102" s="16">
        <f>IF(OR(U102="",Y102="Removed",Y102="Deindexed only",Y102="No action needed"),"",TODAY()-U102)</f>
        <v/>
      </c>
      <c r="Y102" s="18" t="n"/>
      <c r="Z102" s="17" t="n"/>
      <c r="AA102" s="18" t="n"/>
      <c r="AB102" s="19" t="n"/>
    </row>
    <row r="103">
      <c r="A103" s="16">
        <f>IF(C103="","",ROW()-1)</f>
        <v/>
      </c>
      <c r="B103" s="17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9" t="n"/>
      <c r="L103" s="19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7" t="n"/>
      <c r="V103" s="18" t="n"/>
      <c r="W103" s="20">
        <f>IF(U103="","",U103+Summary!$C$4)</f>
        <v/>
      </c>
      <c r="X103" s="16">
        <f>IF(OR(U103="",Y103="Removed",Y103="Deindexed only",Y103="No action needed"),"",TODAY()-U103)</f>
        <v/>
      </c>
      <c r="Y103" s="18" t="n"/>
      <c r="Z103" s="17" t="n"/>
      <c r="AA103" s="18" t="n"/>
      <c r="AB103" s="19" t="n"/>
    </row>
    <row r="104">
      <c r="A104" s="16">
        <f>IF(C104="","",ROW()-1)</f>
        <v/>
      </c>
      <c r="B104" s="17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9" t="n"/>
      <c r="L104" s="19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7" t="n"/>
      <c r="V104" s="18" t="n"/>
      <c r="W104" s="20">
        <f>IF(U104="","",U104+Summary!$C$4)</f>
        <v/>
      </c>
      <c r="X104" s="16">
        <f>IF(OR(U104="",Y104="Removed",Y104="Deindexed only",Y104="No action needed"),"",TODAY()-U104)</f>
        <v/>
      </c>
      <c r="Y104" s="18" t="n"/>
      <c r="Z104" s="17" t="n"/>
      <c r="AA104" s="18" t="n"/>
      <c r="AB104" s="19" t="n"/>
    </row>
    <row r="105">
      <c r="A105" s="16">
        <f>IF(C105="","",ROW()-1)</f>
        <v/>
      </c>
      <c r="B105" s="17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9" t="n"/>
      <c r="L105" s="19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7" t="n"/>
      <c r="V105" s="18" t="n"/>
      <c r="W105" s="20">
        <f>IF(U105="","",U105+Summary!$C$4)</f>
        <v/>
      </c>
      <c r="X105" s="16">
        <f>IF(OR(U105="",Y105="Removed",Y105="Deindexed only",Y105="No action needed"),"",TODAY()-U105)</f>
        <v/>
      </c>
      <c r="Y105" s="18" t="n"/>
      <c r="Z105" s="17" t="n"/>
      <c r="AA105" s="18" t="n"/>
      <c r="AB105" s="19" t="n"/>
    </row>
    <row r="106">
      <c r="A106" s="16">
        <f>IF(C106="","",ROW()-1)</f>
        <v/>
      </c>
      <c r="B106" s="17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9" t="n"/>
      <c r="L106" s="19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7" t="n"/>
      <c r="V106" s="18" t="n"/>
      <c r="W106" s="20">
        <f>IF(U106="","",U106+Summary!$C$4)</f>
        <v/>
      </c>
      <c r="X106" s="16">
        <f>IF(OR(U106="",Y106="Removed",Y106="Deindexed only",Y106="No action needed"),"",TODAY()-U106)</f>
        <v/>
      </c>
      <c r="Y106" s="18" t="n"/>
      <c r="Z106" s="17" t="n"/>
      <c r="AA106" s="18" t="n"/>
      <c r="AB106" s="19" t="n"/>
    </row>
    <row r="107">
      <c r="A107" s="16">
        <f>IF(C107="","",ROW()-1)</f>
        <v/>
      </c>
      <c r="B107" s="17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9" t="n"/>
      <c r="L107" s="19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7" t="n"/>
      <c r="V107" s="18" t="n"/>
      <c r="W107" s="20">
        <f>IF(U107="","",U107+Summary!$C$4)</f>
        <v/>
      </c>
      <c r="X107" s="16">
        <f>IF(OR(U107="",Y107="Removed",Y107="Deindexed only",Y107="No action needed"),"",TODAY()-U107)</f>
        <v/>
      </c>
      <c r="Y107" s="18" t="n"/>
      <c r="Z107" s="17" t="n"/>
      <c r="AA107" s="18" t="n"/>
      <c r="AB107" s="19" t="n"/>
    </row>
    <row r="108">
      <c r="A108" s="16">
        <f>IF(C108="","",ROW()-1)</f>
        <v/>
      </c>
      <c r="B108" s="17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9" t="n"/>
      <c r="L108" s="19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7" t="n"/>
      <c r="V108" s="18" t="n"/>
      <c r="W108" s="20">
        <f>IF(U108="","",U108+Summary!$C$4)</f>
        <v/>
      </c>
      <c r="X108" s="16">
        <f>IF(OR(U108="",Y108="Removed",Y108="Deindexed only",Y108="No action needed"),"",TODAY()-U108)</f>
        <v/>
      </c>
      <c r="Y108" s="18" t="n"/>
      <c r="Z108" s="17" t="n"/>
      <c r="AA108" s="18" t="n"/>
      <c r="AB108" s="19" t="n"/>
    </row>
    <row r="109">
      <c r="A109" s="16">
        <f>IF(C109="","",ROW()-1)</f>
        <v/>
      </c>
      <c r="B109" s="17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9" t="n"/>
      <c r="L109" s="19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7" t="n"/>
      <c r="V109" s="18" t="n"/>
      <c r="W109" s="20">
        <f>IF(U109="","",U109+Summary!$C$4)</f>
        <v/>
      </c>
      <c r="X109" s="16">
        <f>IF(OR(U109="",Y109="Removed",Y109="Deindexed only",Y109="No action needed"),"",TODAY()-U109)</f>
        <v/>
      </c>
      <c r="Y109" s="18" t="n"/>
      <c r="Z109" s="17" t="n"/>
      <c r="AA109" s="18" t="n"/>
      <c r="AB109" s="19" t="n"/>
    </row>
    <row r="110">
      <c r="A110" s="16">
        <f>IF(C110="","",ROW()-1)</f>
        <v/>
      </c>
      <c r="B110" s="17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9" t="n"/>
      <c r="L110" s="19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7" t="n"/>
      <c r="V110" s="18" t="n"/>
      <c r="W110" s="20">
        <f>IF(U110="","",U110+Summary!$C$4)</f>
        <v/>
      </c>
      <c r="X110" s="16">
        <f>IF(OR(U110="",Y110="Removed",Y110="Deindexed only",Y110="No action needed"),"",TODAY()-U110)</f>
        <v/>
      </c>
      <c r="Y110" s="18" t="n"/>
      <c r="Z110" s="17" t="n"/>
      <c r="AA110" s="18" t="n"/>
      <c r="AB110" s="19" t="n"/>
    </row>
    <row r="111">
      <c r="A111" s="16">
        <f>IF(C111="","",ROW()-1)</f>
        <v/>
      </c>
      <c r="B111" s="17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9" t="n"/>
      <c r="L111" s="19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7" t="n"/>
      <c r="V111" s="18" t="n"/>
      <c r="W111" s="20">
        <f>IF(U111="","",U111+Summary!$C$4)</f>
        <v/>
      </c>
      <c r="X111" s="16">
        <f>IF(OR(U111="",Y111="Removed",Y111="Deindexed only",Y111="No action needed"),"",TODAY()-U111)</f>
        <v/>
      </c>
      <c r="Y111" s="18" t="n"/>
      <c r="Z111" s="17" t="n"/>
      <c r="AA111" s="18" t="n"/>
      <c r="AB111" s="19" t="n"/>
    </row>
    <row r="112">
      <c r="A112" s="16">
        <f>IF(C112="","",ROW()-1)</f>
        <v/>
      </c>
      <c r="B112" s="17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9" t="n"/>
      <c r="L112" s="19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7" t="n"/>
      <c r="V112" s="18" t="n"/>
      <c r="W112" s="20">
        <f>IF(U112="","",U112+Summary!$C$4)</f>
        <v/>
      </c>
      <c r="X112" s="16">
        <f>IF(OR(U112="",Y112="Removed",Y112="Deindexed only",Y112="No action needed"),"",TODAY()-U112)</f>
        <v/>
      </c>
      <c r="Y112" s="18" t="n"/>
      <c r="Z112" s="17" t="n"/>
      <c r="AA112" s="18" t="n"/>
      <c r="AB112" s="19" t="n"/>
    </row>
    <row r="113">
      <c r="A113" s="16">
        <f>IF(C113="","",ROW()-1)</f>
        <v/>
      </c>
      <c r="B113" s="17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9" t="n"/>
      <c r="L113" s="19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7" t="n"/>
      <c r="V113" s="18" t="n"/>
      <c r="W113" s="20">
        <f>IF(U113="","",U113+Summary!$C$4)</f>
        <v/>
      </c>
      <c r="X113" s="16">
        <f>IF(OR(U113="",Y113="Removed",Y113="Deindexed only",Y113="No action needed"),"",TODAY()-U113)</f>
        <v/>
      </c>
      <c r="Y113" s="18" t="n"/>
      <c r="Z113" s="17" t="n"/>
      <c r="AA113" s="18" t="n"/>
      <c r="AB113" s="19" t="n"/>
    </row>
    <row r="114">
      <c r="A114" s="16">
        <f>IF(C114="","",ROW()-1)</f>
        <v/>
      </c>
      <c r="B114" s="17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9" t="n"/>
      <c r="L114" s="19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7" t="n"/>
      <c r="V114" s="18" t="n"/>
      <c r="W114" s="20">
        <f>IF(U114="","",U114+Summary!$C$4)</f>
        <v/>
      </c>
      <c r="X114" s="16">
        <f>IF(OR(U114="",Y114="Removed",Y114="Deindexed only",Y114="No action needed"),"",TODAY()-U114)</f>
        <v/>
      </c>
      <c r="Y114" s="18" t="n"/>
      <c r="Z114" s="17" t="n"/>
      <c r="AA114" s="18" t="n"/>
      <c r="AB114" s="19" t="n"/>
    </row>
    <row r="115">
      <c r="A115" s="16">
        <f>IF(C115="","",ROW()-1)</f>
        <v/>
      </c>
      <c r="B115" s="17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9" t="n"/>
      <c r="L115" s="19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7" t="n"/>
      <c r="V115" s="18" t="n"/>
      <c r="W115" s="20">
        <f>IF(U115="","",U115+Summary!$C$4)</f>
        <v/>
      </c>
      <c r="X115" s="16">
        <f>IF(OR(U115="",Y115="Removed",Y115="Deindexed only",Y115="No action needed"),"",TODAY()-U115)</f>
        <v/>
      </c>
      <c r="Y115" s="18" t="n"/>
      <c r="Z115" s="17" t="n"/>
      <c r="AA115" s="18" t="n"/>
      <c r="AB115" s="19" t="n"/>
    </row>
    <row r="116">
      <c r="A116" s="16">
        <f>IF(C116="","",ROW()-1)</f>
        <v/>
      </c>
      <c r="B116" s="17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9" t="n"/>
      <c r="L116" s="19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7" t="n"/>
      <c r="V116" s="18" t="n"/>
      <c r="W116" s="20">
        <f>IF(U116="","",U116+Summary!$C$4)</f>
        <v/>
      </c>
      <c r="X116" s="16">
        <f>IF(OR(U116="",Y116="Removed",Y116="Deindexed only",Y116="No action needed"),"",TODAY()-U116)</f>
        <v/>
      </c>
      <c r="Y116" s="18" t="n"/>
      <c r="Z116" s="17" t="n"/>
      <c r="AA116" s="18" t="n"/>
      <c r="AB116" s="19" t="n"/>
    </row>
    <row r="117">
      <c r="A117" s="16">
        <f>IF(C117="","",ROW()-1)</f>
        <v/>
      </c>
      <c r="B117" s="17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9" t="n"/>
      <c r="L117" s="19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7" t="n"/>
      <c r="V117" s="18" t="n"/>
      <c r="W117" s="20">
        <f>IF(U117="","",U117+Summary!$C$4)</f>
        <v/>
      </c>
      <c r="X117" s="16">
        <f>IF(OR(U117="",Y117="Removed",Y117="Deindexed only",Y117="No action needed"),"",TODAY()-U117)</f>
        <v/>
      </c>
      <c r="Y117" s="18" t="n"/>
      <c r="Z117" s="17" t="n"/>
      <c r="AA117" s="18" t="n"/>
      <c r="AB117" s="19" t="n"/>
    </row>
    <row r="118">
      <c r="A118" s="16">
        <f>IF(C118="","",ROW()-1)</f>
        <v/>
      </c>
      <c r="B118" s="17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9" t="n"/>
      <c r="L118" s="19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7" t="n"/>
      <c r="V118" s="18" t="n"/>
      <c r="W118" s="20">
        <f>IF(U118="","",U118+Summary!$C$4)</f>
        <v/>
      </c>
      <c r="X118" s="16">
        <f>IF(OR(U118="",Y118="Removed",Y118="Deindexed only",Y118="No action needed"),"",TODAY()-U118)</f>
        <v/>
      </c>
      <c r="Y118" s="18" t="n"/>
      <c r="Z118" s="17" t="n"/>
      <c r="AA118" s="18" t="n"/>
      <c r="AB118" s="19" t="n"/>
    </row>
    <row r="119">
      <c r="A119" s="16">
        <f>IF(C119="","",ROW()-1)</f>
        <v/>
      </c>
      <c r="B119" s="17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9" t="n"/>
      <c r="L119" s="19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7" t="n"/>
      <c r="V119" s="18" t="n"/>
      <c r="W119" s="20">
        <f>IF(U119="","",U119+Summary!$C$4)</f>
        <v/>
      </c>
      <c r="X119" s="16">
        <f>IF(OR(U119="",Y119="Removed",Y119="Deindexed only",Y119="No action needed"),"",TODAY()-U119)</f>
        <v/>
      </c>
      <c r="Y119" s="18" t="n"/>
      <c r="Z119" s="17" t="n"/>
      <c r="AA119" s="18" t="n"/>
      <c r="AB119" s="19" t="n"/>
    </row>
    <row r="120">
      <c r="A120" s="16">
        <f>IF(C120="","",ROW()-1)</f>
        <v/>
      </c>
      <c r="B120" s="17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9" t="n"/>
      <c r="L120" s="19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7" t="n"/>
      <c r="V120" s="18" t="n"/>
      <c r="W120" s="20">
        <f>IF(U120="","",U120+Summary!$C$4)</f>
        <v/>
      </c>
      <c r="X120" s="16">
        <f>IF(OR(U120="",Y120="Removed",Y120="Deindexed only",Y120="No action needed"),"",TODAY()-U120)</f>
        <v/>
      </c>
      <c r="Y120" s="18" t="n"/>
      <c r="Z120" s="17" t="n"/>
      <c r="AA120" s="18" t="n"/>
      <c r="AB120" s="19" t="n"/>
    </row>
    <row r="121">
      <c r="A121" s="16">
        <f>IF(C121="","",ROW()-1)</f>
        <v/>
      </c>
      <c r="B121" s="17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9" t="n"/>
      <c r="L121" s="19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7" t="n"/>
      <c r="V121" s="18" t="n"/>
      <c r="W121" s="20">
        <f>IF(U121="","",U121+Summary!$C$4)</f>
        <v/>
      </c>
      <c r="X121" s="16">
        <f>IF(OR(U121="",Y121="Removed",Y121="Deindexed only",Y121="No action needed"),"",TODAY()-U121)</f>
        <v/>
      </c>
      <c r="Y121" s="18" t="n"/>
      <c r="Z121" s="17" t="n"/>
      <c r="AA121" s="18" t="n"/>
      <c r="AB121" s="19" t="n"/>
    </row>
    <row r="122">
      <c r="A122" s="16">
        <f>IF(C122="","",ROW()-1)</f>
        <v/>
      </c>
      <c r="B122" s="17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9" t="n"/>
      <c r="L122" s="19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7" t="n"/>
      <c r="V122" s="18" t="n"/>
      <c r="W122" s="20">
        <f>IF(U122="","",U122+Summary!$C$4)</f>
        <v/>
      </c>
      <c r="X122" s="16">
        <f>IF(OR(U122="",Y122="Removed",Y122="Deindexed only",Y122="No action needed"),"",TODAY()-U122)</f>
        <v/>
      </c>
      <c r="Y122" s="18" t="n"/>
      <c r="Z122" s="17" t="n"/>
      <c r="AA122" s="18" t="n"/>
      <c r="AB122" s="19" t="n"/>
    </row>
    <row r="123">
      <c r="A123" s="16">
        <f>IF(C123="","",ROW()-1)</f>
        <v/>
      </c>
      <c r="B123" s="17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9" t="n"/>
      <c r="L123" s="19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7" t="n"/>
      <c r="V123" s="18" t="n"/>
      <c r="W123" s="20">
        <f>IF(U123="","",U123+Summary!$C$4)</f>
        <v/>
      </c>
      <c r="X123" s="16">
        <f>IF(OR(U123="",Y123="Removed",Y123="Deindexed only",Y123="No action needed"),"",TODAY()-U123)</f>
        <v/>
      </c>
      <c r="Y123" s="18" t="n"/>
      <c r="Z123" s="17" t="n"/>
      <c r="AA123" s="18" t="n"/>
      <c r="AB123" s="19" t="n"/>
    </row>
    <row r="124">
      <c r="A124" s="16">
        <f>IF(C124="","",ROW()-1)</f>
        <v/>
      </c>
      <c r="B124" s="17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9" t="n"/>
      <c r="L124" s="19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7" t="n"/>
      <c r="V124" s="18" t="n"/>
      <c r="W124" s="20">
        <f>IF(U124="","",U124+Summary!$C$4)</f>
        <v/>
      </c>
      <c r="X124" s="16">
        <f>IF(OR(U124="",Y124="Removed",Y124="Deindexed only",Y124="No action needed"),"",TODAY()-U124)</f>
        <v/>
      </c>
      <c r="Y124" s="18" t="n"/>
      <c r="Z124" s="17" t="n"/>
      <c r="AA124" s="18" t="n"/>
      <c r="AB124" s="19" t="n"/>
    </row>
    <row r="125">
      <c r="A125" s="16">
        <f>IF(C125="","",ROW()-1)</f>
        <v/>
      </c>
      <c r="B125" s="17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9" t="n"/>
      <c r="L125" s="19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7" t="n"/>
      <c r="V125" s="18" t="n"/>
      <c r="W125" s="20">
        <f>IF(U125="","",U125+Summary!$C$4)</f>
        <v/>
      </c>
      <c r="X125" s="16">
        <f>IF(OR(U125="",Y125="Removed",Y125="Deindexed only",Y125="No action needed"),"",TODAY()-U125)</f>
        <v/>
      </c>
      <c r="Y125" s="18" t="n"/>
      <c r="Z125" s="17" t="n"/>
      <c r="AA125" s="18" t="n"/>
      <c r="AB125" s="19" t="n"/>
    </row>
    <row r="126">
      <c r="A126" s="16">
        <f>IF(C126="","",ROW()-1)</f>
        <v/>
      </c>
      <c r="B126" s="17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9" t="n"/>
      <c r="L126" s="19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7" t="n"/>
      <c r="V126" s="18" t="n"/>
      <c r="W126" s="20">
        <f>IF(U126="","",U126+Summary!$C$4)</f>
        <v/>
      </c>
      <c r="X126" s="16">
        <f>IF(OR(U126="",Y126="Removed",Y126="Deindexed only",Y126="No action needed"),"",TODAY()-U126)</f>
        <v/>
      </c>
      <c r="Y126" s="18" t="n"/>
      <c r="Z126" s="17" t="n"/>
      <c r="AA126" s="18" t="n"/>
      <c r="AB126" s="19" t="n"/>
    </row>
    <row r="127">
      <c r="A127" s="16">
        <f>IF(C127="","",ROW()-1)</f>
        <v/>
      </c>
      <c r="B127" s="17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9" t="n"/>
      <c r="L127" s="19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7" t="n"/>
      <c r="V127" s="18" t="n"/>
      <c r="W127" s="20">
        <f>IF(U127="","",U127+Summary!$C$4)</f>
        <v/>
      </c>
      <c r="X127" s="16">
        <f>IF(OR(U127="",Y127="Removed",Y127="Deindexed only",Y127="No action needed"),"",TODAY()-U127)</f>
        <v/>
      </c>
      <c r="Y127" s="18" t="n"/>
      <c r="Z127" s="17" t="n"/>
      <c r="AA127" s="18" t="n"/>
      <c r="AB127" s="19" t="n"/>
    </row>
    <row r="128">
      <c r="A128" s="16">
        <f>IF(C128="","",ROW()-1)</f>
        <v/>
      </c>
      <c r="B128" s="17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9" t="n"/>
      <c r="L128" s="19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7" t="n"/>
      <c r="V128" s="18" t="n"/>
      <c r="W128" s="20">
        <f>IF(U128="","",U128+Summary!$C$4)</f>
        <v/>
      </c>
      <c r="X128" s="16">
        <f>IF(OR(U128="",Y128="Removed",Y128="Deindexed only",Y128="No action needed"),"",TODAY()-U128)</f>
        <v/>
      </c>
      <c r="Y128" s="18" t="n"/>
      <c r="Z128" s="17" t="n"/>
      <c r="AA128" s="18" t="n"/>
      <c r="AB128" s="19" t="n"/>
    </row>
    <row r="129">
      <c r="A129" s="16">
        <f>IF(C129="","",ROW()-1)</f>
        <v/>
      </c>
      <c r="B129" s="17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9" t="n"/>
      <c r="L129" s="19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7" t="n"/>
      <c r="V129" s="18" t="n"/>
      <c r="W129" s="20">
        <f>IF(U129="","",U129+Summary!$C$4)</f>
        <v/>
      </c>
      <c r="X129" s="16">
        <f>IF(OR(U129="",Y129="Removed",Y129="Deindexed only",Y129="No action needed"),"",TODAY()-U129)</f>
        <v/>
      </c>
      <c r="Y129" s="18" t="n"/>
      <c r="Z129" s="17" t="n"/>
      <c r="AA129" s="18" t="n"/>
      <c r="AB129" s="19" t="n"/>
    </row>
    <row r="130">
      <c r="A130" s="16">
        <f>IF(C130="","",ROW()-1)</f>
        <v/>
      </c>
      <c r="B130" s="17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9" t="n"/>
      <c r="L130" s="19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7" t="n"/>
      <c r="V130" s="18" t="n"/>
      <c r="W130" s="20">
        <f>IF(U130="","",U130+Summary!$C$4)</f>
        <v/>
      </c>
      <c r="X130" s="16">
        <f>IF(OR(U130="",Y130="Removed",Y130="Deindexed only",Y130="No action needed"),"",TODAY()-U130)</f>
        <v/>
      </c>
      <c r="Y130" s="18" t="n"/>
      <c r="Z130" s="17" t="n"/>
      <c r="AA130" s="18" t="n"/>
      <c r="AB130" s="19" t="n"/>
    </row>
    <row r="131">
      <c r="A131" s="16">
        <f>IF(C131="","",ROW()-1)</f>
        <v/>
      </c>
      <c r="B131" s="17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9" t="n"/>
      <c r="L131" s="19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7" t="n"/>
      <c r="V131" s="18" t="n"/>
      <c r="W131" s="20">
        <f>IF(U131="","",U131+Summary!$C$4)</f>
        <v/>
      </c>
      <c r="X131" s="16">
        <f>IF(OR(U131="",Y131="Removed",Y131="Deindexed only",Y131="No action needed"),"",TODAY()-U131)</f>
        <v/>
      </c>
      <c r="Y131" s="18" t="n"/>
      <c r="Z131" s="17" t="n"/>
      <c r="AA131" s="18" t="n"/>
      <c r="AB131" s="19" t="n"/>
    </row>
    <row r="132">
      <c r="A132" s="16">
        <f>IF(C132="","",ROW()-1)</f>
        <v/>
      </c>
      <c r="B132" s="17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9" t="n"/>
      <c r="L132" s="19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7" t="n"/>
      <c r="V132" s="18" t="n"/>
      <c r="W132" s="20">
        <f>IF(U132="","",U132+Summary!$C$4)</f>
        <v/>
      </c>
      <c r="X132" s="16">
        <f>IF(OR(U132="",Y132="Removed",Y132="Deindexed only",Y132="No action needed"),"",TODAY()-U132)</f>
        <v/>
      </c>
      <c r="Y132" s="18" t="n"/>
      <c r="Z132" s="17" t="n"/>
      <c r="AA132" s="18" t="n"/>
      <c r="AB132" s="19" t="n"/>
    </row>
    <row r="133">
      <c r="A133" s="16">
        <f>IF(C133="","",ROW()-1)</f>
        <v/>
      </c>
      <c r="B133" s="17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9" t="n"/>
      <c r="L133" s="19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7" t="n"/>
      <c r="V133" s="18" t="n"/>
      <c r="W133" s="20">
        <f>IF(U133="","",U133+Summary!$C$4)</f>
        <v/>
      </c>
      <c r="X133" s="16">
        <f>IF(OR(U133="",Y133="Removed",Y133="Deindexed only",Y133="No action needed"),"",TODAY()-U133)</f>
        <v/>
      </c>
      <c r="Y133" s="18" t="n"/>
      <c r="Z133" s="17" t="n"/>
      <c r="AA133" s="18" t="n"/>
      <c r="AB133" s="19" t="n"/>
    </row>
    <row r="134">
      <c r="A134" s="16">
        <f>IF(C134="","",ROW()-1)</f>
        <v/>
      </c>
      <c r="B134" s="17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9" t="n"/>
      <c r="L134" s="19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7" t="n"/>
      <c r="V134" s="18" t="n"/>
      <c r="W134" s="20">
        <f>IF(U134="","",U134+Summary!$C$4)</f>
        <v/>
      </c>
      <c r="X134" s="16">
        <f>IF(OR(U134="",Y134="Removed",Y134="Deindexed only",Y134="No action needed"),"",TODAY()-U134)</f>
        <v/>
      </c>
      <c r="Y134" s="18" t="n"/>
      <c r="Z134" s="17" t="n"/>
      <c r="AA134" s="18" t="n"/>
      <c r="AB134" s="19" t="n"/>
    </row>
    <row r="135">
      <c r="A135" s="16">
        <f>IF(C135="","",ROW()-1)</f>
        <v/>
      </c>
      <c r="B135" s="17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9" t="n"/>
      <c r="L135" s="19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7" t="n"/>
      <c r="V135" s="18" t="n"/>
      <c r="W135" s="20">
        <f>IF(U135="","",U135+Summary!$C$4)</f>
        <v/>
      </c>
      <c r="X135" s="16">
        <f>IF(OR(U135="",Y135="Removed",Y135="Deindexed only",Y135="No action needed"),"",TODAY()-U135)</f>
        <v/>
      </c>
      <c r="Y135" s="18" t="n"/>
      <c r="Z135" s="17" t="n"/>
      <c r="AA135" s="18" t="n"/>
      <c r="AB135" s="19" t="n"/>
    </row>
    <row r="136">
      <c r="A136" s="16">
        <f>IF(C136="","",ROW()-1)</f>
        <v/>
      </c>
      <c r="B136" s="17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9" t="n"/>
      <c r="L136" s="19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7" t="n"/>
      <c r="V136" s="18" t="n"/>
      <c r="W136" s="20">
        <f>IF(U136="","",U136+Summary!$C$4)</f>
        <v/>
      </c>
      <c r="X136" s="16">
        <f>IF(OR(U136="",Y136="Removed",Y136="Deindexed only",Y136="No action needed"),"",TODAY()-U136)</f>
        <v/>
      </c>
      <c r="Y136" s="18" t="n"/>
      <c r="Z136" s="17" t="n"/>
      <c r="AA136" s="18" t="n"/>
      <c r="AB136" s="19" t="n"/>
    </row>
    <row r="137">
      <c r="A137" s="16">
        <f>IF(C137="","",ROW()-1)</f>
        <v/>
      </c>
      <c r="B137" s="17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9" t="n"/>
      <c r="L137" s="19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7" t="n"/>
      <c r="V137" s="18" t="n"/>
      <c r="W137" s="20">
        <f>IF(U137="","",U137+Summary!$C$4)</f>
        <v/>
      </c>
      <c r="X137" s="16">
        <f>IF(OR(U137="",Y137="Removed",Y137="Deindexed only",Y137="No action needed"),"",TODAY()-U137)</f>
        <v/>
      </c>
      <c r="Y137" s="18" t="n"/>
      <c r="Z137" s="17" t="n"/>
      <c r="AA137" s="18" t="n"/>
      <c r="AB137" s="19" t="n"/>
    </row>
    <row r="138">
      <c r="A138" s="16">
        <f>IF(C138="","",ROW()-1)</f>
        <v/>
      </c>
      <c r="B138" s="17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9" t="n"/>
      <c r="L138" s="19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7" t="n"/>
      <c r="V138" s="18" t="n"/>
      <c r="W138" s="20">
        <f>IF(U138="","",U138+Summary!$C$4)</f>
        <v/>
      </c>
      <c r="X138" s="16">
        <f>IF(OR(U138="",Y138="Removed",Y138="Deindexed only",Y138="No action needed"),"",TODAY()-U138)</f>
        <v/>
      </c>
      <c r="Y138" s="18" t="n"/>
      <c r="Z138" s="17" t="n"/>
      <c r="AA138" s="18" t="n"/>
      <c r="AB138" s="19" t="n"/>
    </row>
    <row r="139">
      <c r="A139" s="16">
        <f>IF(C139="","",ROW()-1)</f>
        <v/>
      </c>
      <c r="B139" s="17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9" t="n"/>
      <c r="L139" s="19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7" t="n"/>
      <c r="V139" s="18" t="n"/>
      <c r="W139" s="20">
        <f>IF(U139="","",U139+Summary!$C$4)</f>
        <v/>
      </c>
      <c r="X139" s="16">
        <f>IF(OR(U139="",Y139="Removed",Y139="Deindexed only",Y139="No action needed"),"",TODAY()-U139)</f>
        <v/>
      </c>
      <c r="Y139" s="18" t="n"/>
      <c r="Z139" s="17" t="n"/>
      <c r="AA139" s="18" t="n"/>
      <c r="AB139" s="19" t="n"/>
    </row>
    <row r="140">
      <c r="A140" s="16">
        <f>IF(C140="","",ROW()-1)</f>
        <v/>
      </c>
      <c r="B140" s="17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9" t="n"/>
      <c r="L140" s="19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7" t="n"/>
      <c r="V140" s="18" t="n"/>
      <c r="W140" s="20">
        <f>IF(U140="","",U140+Summary!$C$4)</f>
        <v/>
      </c>
      <c r="X140" s="16">
        <f>IF(OR(U140="",Y140="Removed",Y140="Deindexed only",Y140="No action needed"),"",TODAY()-U140)</f>
        <v/>
      </c>
      <c r="Y140" s="18" t="n"/>
      <c r="Z140" s="17" t="n"/>
      <c r="AA140" s="18" t="n"/>
      <c r="AB140" s="19" t="n"/>
    </row>
    <row r="141">
      <c r="A141" s="16">
        <f>IF(C141="","",ROW()-1)</f>
        <v/>
      </c>
      <c r="B141" s="17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9" t="n"/>
      <c r="L141" s="19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7" t="n"/>
      <c r="V141" s="18" t="n"/>
      <c r="W141" s="20">
        <f>IF(U141="","",U141+Summary!$C$4)</f>
        <v/>
      </c>
      <c r="X141" s="16">
        <f>IF(OR(U141="",Y141="Removed",Y141="Deindexed only",Y141="No action needed"),"",TODAY()-U141)</f>
        <v/>
      </c>
      <c r="Y141" s="18" t="n"/>
      <c r="Z141" s="17" t="n"/>
      <c r="AA141" s="18" t="n"/>
      <c r="AB141" s="19" t="n"/>
    </row>
    <row r="142">
      <c r="A142" s="16">
        <f>IF(C142="","",ROW()-1)</f>
        <v/>
      </c>
      <c r="B142" s="17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9" t="n"/>
      <c r="L142" s="19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7" t="n"/>
      <c r="V142" s="18" t="n"/>
      <c r="W142" s="20">
        <f>IF(U142="","",U142+Summary!$C$4)</f>
        <v/>
      </c>
      <c r="X142" s="16">
        <f>IF(OR(U142="",Y142="Removed",Y142="Deindexed only",Y142="No action needed"),"",TODAY()-U142)</f>
        <v/>
      </c>
      <c r="Y142" s="18" t="n"/>
      <c r="Z142" s="17" t="n"/>
      <c r="AA142" s="18" t="n"/>
      <c r="AB142" s="19" t="n"/>
    </row>
    <row r="143">
      <c r="A143" s="16">
        <f>IF(C143="","",ROW()-1)</f>
        <v/>
      </c>
      <c r="B143" s="17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9" t="n"/>
      <c r="L143" s="19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7" t="n"/>
      <c r="V143" s="18" t="n"/>
      <c r="W143" s="20">
        <f>IF(U143="","",U143+Summary!$C$4)</f>
        <v/>
      </c>
      <c r="X143" s="16">
        <f>IF(OR(U143="",Y143="Removed",Y143="Deindexed only",Y143="No action needed"),"",TODAY()-U143)</f>
        <v/>
      </c>
      <c r="Y143" s="18" t="n"/>
      <c r="Z143" s="17" t="n"/>
      <c r="AA143" s="18" t="n"/>
      <c r="AB143" s="19" t="n"/>
    </row>
    <row r="144">
      <c r="A144" s="16">
        <f>IF(C144="","",ROW()-1)</f>
        <v/>
      </c>
      <c r="B144" s="17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9" t="n"/>
      <c r="L144" s="19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7" t="n"/>
      <c r="V144" s="18" t="n"/>
      <c r="W144" s="20">
        <f>IF(U144="","",U144+Summary!$C$4)</f>
        <v/>
      </c>
      <c r="X144" s="16">
        <f>IF(OR(U144="",Y144="Removed",Y144="Deindexed only",Y144="No action needed"),"",TODAY()-U144)</f>
        <v/>
      </c>
      <c r="Y144" s="18" t="n"/>
      <c r="Z144" s="17" t="n"/>
      <c r="AA144" s="18" t="n"/>
      <c r="AB144" s="19" t="n"/>
    </row>
    <row r="145">
      <c r="A145" s="16">
        <f>IF(C145="","",ROW()-1)</f>
        <v/>
      </c>
      <c r="B145" s="17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9" t="n"/>
      <c r="L145" s="19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7" t="n"/>
      <c r="V145" s="18" t="n"/>
      <c r="W145" s="20">
        <f>IF(U145="","",U145+Summary!$C$4)</f>
        <v/>
      </c>
      <c r="X145" s="16">
        <f>IF(OR(U145="",Y145="Removed",Y145="Deindexed only",Y145="No action needed"),"",TODAY()-U145)</f>
        <v/>
      </c>
      <c r="Y145" s="18" t="n"/>
      <c r="Z145" s="17" t="n"/>
      <c r="AA145" s="18" t="n"/>
      <c r="AB145" s="19" t="n"/>
    </row>
    <row r="146">
      <c r="A146" s="16">
        <f>IF(C146="","",ROW()-1)</f>
        <v/>
      </c>
      <c r="B146" s="17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9" t="n"/>
      <c r="L146" s="19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7" t="n"/>
      <c r="V146" s="18" t="n"/>
      <c r="W146" s="20">
        <f>IF(U146="","",U146+Summary!$C$4)</f>
        <v/>
      </c>
      <c r="X146" s="16">
        <f>IF(OR(U146="",Y146="Removed",Y146="Deindexed only",Y146="No action needed"),"",TODAY()-U146)</f>
        <v/>
      </c>
      <c r="Y146" s="18" t="n"/>
      <c r="Z146" s="17" t="n"/>
      <c r="AA146" s="18" t="n"/>
      <c r="AB146" s="19" t="n"/>
    </row>
    <row r="147">
      <c r="A147" s="16">
        <f>IF(C147="","",ROW()-1)</f>
        <v/>
      </c>
      <c r="B147" s="17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9" t="n"/>
      <c r="L147" s="19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7" t="n"/>
      <c r="V147" s="18" t="n"/>
      <c r="W147" s="20">
        <f>IF(U147="","",U147+Summary!$C$4)</f>
        <v/>
      </c>
      <c r="X147" s="16">
        <f>IF(OR(U147="",Y147="Removed",Y147="Deindexed only",Y147="No action needed"),"",TODAY()-U147)</f>
        <v/>
      </c>
      <c r="Y147" s="18" t="n"/>
      <c r="Z147" s="17" t="n"/>
      <c r="AA147" s="18" t="n"/>
      <c r="AB147" s="19" t="n"/>
    </row>
    <row r="148">
      <c r="A148" s="16">
        <f>IF(C148="","",ROW()-1)</f>
        <v/>
      </c>
      <c r="B148" s="17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9" t="n"/>
      <c r="L148" s="19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7" t="n"/>
      <c r="V148" s="18" t="n"/>
      <c r="W148" s="20">
        <f>IF(U148="","",U148+Summary!$C$4)</f>
        <v/>
      </c>
      <c r="X148" s="16">
        <f>IF(OR(U148="",Y148="Removed",Y148="Deindexed only",Y148="No action needed"),"",TODAY()-U148)</f>
        <v/>
      </c>
      <c r="Y148" s="18" t="n"/>
      <c r="Z148" s="17" t="n"/>
      <c r="AA148" s="18" t="n"/>
      <c r="AB148" s="19" t="n"/>
    </row>
    <row r="149">
      <c r="A149" s="16">
        <f>IF(C149="","",ROW()-1)</f>
        <v/>
      </c>
      <c r="B149" s="17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9" t="n"/>
      <c r="L149" s="19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7" t="n"/>
      <c r="V149" s="18" t="n"/>
      <c r="W149" s="20">
        <f>IF(U149="","",U149+Summary!$C$4)</f>
        <v/>
      </c>
      <c r="X149" s="16">
        <f>IF(OR(U149="",Y149="Removed",Y149="Deindexed only",Y149="No action needed"),"",TODAY()-U149)</f>
        <v/>
      </c>
      <c r="Y149" s="18" t="n"/>
      <c r="Z149" s="17" t="n"/>
      <c r="AA149" s="18" t="n"/>
      <c r="AB149" s="19" t="n"/>
    </row>
    <row r="150">
      <c r="A150" s="16">
        <f>IF(C150="","",ROW()-1)</f>
        <v/>
      </c>
      <c r="B150" s="17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9" t="n"/>
      <c r="L150" s="19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7" t="n"/>
      <c r="V150" s="18" t="n"/>
      <c r="W150" s="20">
        <f>IF(U150="","",U150+Summary!$C$4)</f>
        <v/>
      </c>
      <c r="X150" s="16">
        <f>IF(OR(U150="",Y150="Removed",Y150="Deindexed only",Y150="No action needed"),"",TODAY()-U150)</f>
        <v/>
      </c>
      <c r="Y150" s="18" t="n"/>
      <c r="Z150" s="17" t="n"/>
      <c r="AA150" s="18" t="n"/>
      <c r="AB150" s="19" t="n"/>
    </row>
    <row r="151">
      <c r="A151" s="16">
        <f>IF(C151="","",ROW()-1)</f>
        <v/>
      </c>
      <c r="B151" s="17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9" t="n"/>
      <c r="L151" s="19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7" t="n"/>
      <c r="V151" s="18" t="n"/>
      <c r="W151" s="20">
        <f>IF(U151="","",U151+Summary!$C$4)</f>
        <v/>
      </c>
      <c r="X151" s="16">
        <f>IF(OR(U151="",Y151="Removed",Y151="Deindexed only",Y151="No action needed"),"",TODAY()-U151)</f>
        <v/>
      </c>
      <c r="Y151" s="18" t="n"/>
      <c r="Z151" s="17" t="n"/>
      <c r="AA151" s="18" t="n"/>
      <c r="AB151" s="19" t="n"/>
    </row>
    <row r="152">
      <c r="A152" s="16">
        <f>IF(C152="","",ROW()-1)</f>
        <v/>
      </c>
      <c r="B152" s="17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9" t="n"/>
      <c r="L152" s="19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7" t="n"/>
      <c r="V152" s="18" t="n"/>
      <c r="W152" s="20">
        <f>IF(U152="","",U152+Summary!$C$4)</f>
        <v/>
      </c>
      <c r="X152" s="16">
        <f>IF(OR(U152="",Y152="Removed",Y152="Deindexed only",Y152="No action needed"),"",TODAY()-U152)</f>
        <v/>
      </c>
      <c r="Y152" s="18" t="n"/>
      <c r="Z152" s="17" t="n"/>
      <c r="AA152" s="18" t="n"/>
      <c r="AB152" s="19" t="n"/>
    </row>
    <row r="153">
      <c r="A153" s="16">
        <f>IF(C153="","",ROW()-1)</f>
        <v/>
      </c>
      <c r="B153" s="17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9" t="n"/>
      <c r="L153" s="19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7" t="n"/>
      <c r="V153" s="18" t="n"/>
      <c r="W153" s="20">
        <f>IF(U153="","",U153+Summary!$C$4)</f>
        <v/>
      </c>
      <c r="X153" s="16">
        <f>IF(OR(U153="",Y153="Removed",Y153="Deindexed only",Y153="No action needed"),"",TODAY()-U153)</f>
        <v/>
      </c>
      <c r="Y153" s="18" t="n"/>
      <c r="Z153" s="17" t="n"/>
      <c r="AA153" s="18" t="n"/>
      <c r="AB153" s="19" t="n"/>
    </row>
    <row r="154">
      <c r="A154" s="16">
        <f>IF(C154="","",ROW()-1)</f>
        <v/>
      </c>
      <c r="B154" s="17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9" t="n"/>
      <c r="L154" s="19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7" t="n"/>
      <c r="V154" s="18" t="n"/>
      <c r="W154" s="20">
        <f>IF(U154="","",U154+Summary!$C$4)</f>
        <v/>
      </c>
      <c r="X154" s="16">
        <f>IF(OR(U154="",Y154="Removed",Y154="Deindexed only",Y154="No action needed"),"",TODAY()-U154)</f>
        <v/>
      </c>
      <c r="Y154" s="18" t="n"/>
      <c r="Z154" s="17" t="n"/>
      <c r="AA154" s="18" t="n"/>
      <c r="AB154" s="19" t="n"/>
    </row>
    <row r="155">
      <c r="A155" s="16">
        <f>IF(C155="","",ROW()-1)</f>
        <v/>
      </c>
      <c r="B155" s="17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9" t="n"/>
      <c r="L155" s="19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7" t="n"/>
      <c r="V155" s="18" t="n"/>
      <c r="W155" s="20">
        <f>IF(U155="","",U155+Summary!$C$4)</f>
        <v/>
      </c>
      <c r="X155" s="16">
        <f>IF(OR(U155="",Y155="Removed",Y155="Deindexed only",Y155="No action needed"),"",TODAY()-U155)</f>
        <v/>
      </c>
      <c r="Y155" s="18" t="n"/>
      <c r="Z155" s="17" t="n"/>
      <c r="AA155" s="18" t="n"/>
      <c r="AB155" s="19" t="n"/>
    </row>
    <row r="156">
      <c r="A156" s="16">
        <f>IF(C156="","",ROW()-1)</f>
        <v/>
      </c>
      <c r="B156" s="17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9" t="n"/>
      <c r="L156" s="19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7" t="n"/>
      <c r="V156" s="18" t="n"/>
      <c r="W156" s="20">
        <f>IF(U156="","",U156+Summary!$C$4)</f>
        <v/>
      </c>
      <c r="X156" s="16">
        <f>IF(OR(U156="",Y156="Removed",Y156="Deindexed only",Y156="No action needed"),"",TODAY()-U156)</f>
        <v/>
      </c>
      <c r="Y156" s="18" t="n"/>
      <c r="Z156" s="17" t="n"/>
      <c r="AA156" s="18" t="n"/>
      <c r="AB156" s="19" t="n"/>
    </row>
    <row r="157">
      <c r="A157" s="16">
        <f>IF(C157="","",ROW()-1)</f>
        <v/>
      </c>
      <c r="B157" s="17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9" t="n"/>
      <c r="L157" s="19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7" t="n"/>
      <c r="V157" s="18" t="n"/>
      <c r="W157" s="20">
        <f>IF(U157="","",U157+Summary!$C$4)</f>
        <v/>
      </c>
      <c r="X157" s="16">
        <f>IF(OR(U157="",Y157="Removed",Y157="Deindexed only",Y157="No action needed"),"",TODAY()-U157)</f>
        <v/>
      </c>
      <c r="Y157" s="18" t="n"/>
      <c r="Z157" s="17" t="n"/>
      <c r="AA157" s="18" t="n"/>
      <c r="AB157" s="19" t="n"/>
    </row>
    <row r="158">
      <c r="A158" s="16">
        <f>IF(C158="","",ROW()-1)</f>
        <v/>
      </c>
      <c r="B158" s="17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9" t="n"/>
      <c r="L158" s="19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7" t="n"/>
      <c r="V158" s="18" t="n"/>
      <c r="W158" s="20">
        <f>IF(U158="","",U158+Summary!$C$4)</f>
        <v/>
      </c>
      <c r="X158" s="16">
        <f>IF(OR(U158="",Y158="Removed",Y158="Deindexed only",Y158="No action needed"),"",TODAY()-U158)</f>
        <v/>
      </c>
      <c r="Y158" s="18" t="n"/>
      <c r="Z158" s="17" t="n"/>
      <c r="AA158" s="18" t="n"/>
      <c r="AB158" s="19" t="n"/>
    </row>
    <row r="159">
      <c r="A159" s="16">
        <f>IF(C159="","",ROW()-1)</f>
        <v/>
      </c>
      <c r="B159" s="17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9" t="n"/>
      <c r="L159" s="19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7" t="n"/>
      <c r="V159" s="18" t="n"/>
      <c r="W159" s="20">
        <f>IF(U159="","",U159+Summary!$C$4)</f>
        <v/>
      </c>
      <c r="X159" s="16">
        <f>IF(OR(U159="",Y159="Removed",Y159="Deindexed only",Y159="No action needed"),"",TODAY()-U159)</f>
        <v/>
      </c>
      <c r="Y159" s="18" t="n"/>
      <c r="Z159" s="17" t="n"/>
      <c r="AA159" s="18" t="n"/>
      <c r="AB159" s="19" t="n"/>
    </row>
    <row r="160">
      <c r="A160" s="16">
        <f>IF(C160="","",ROW()-1)</f>
        <v/>
      </c>
      <c r="B160" s="17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9" t="n"/>
      <c r="L160" s="19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7" t="n"/>
      <c r="V160" s="18" t="n"/>
      <c r="W160" s="20">
        <f>IF(U160="","",U160+Summary!$C$4)</f>
        <v/>
      </c>
      <c r="X160" s="16">
        <f>IF(OR(U160="",Y160="Removed",Y160="Deindexed only",Y160="No action needed"),"",TODAY()-U160)</f>
        <v/>
      </c>
      <c r="Y160" s="18" t="n"/>
      <c r="Z160" s="17" t="n"/>
      <c r="AA160" s="18" t="n"/>
      <c r="AB160" s="19" t="n"/>
    </row>
    <row r="161">
      <c r="A161" s="16">
        <f>IF(C161="","",ROW()-1)</f>
        <v/>
      </c>
      <c r="B161" s="17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9" t="n"/>
      <c r="L161" s="19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7" t="n"/>
      <c r="V161" s="18" t="n"/>
      <c r="W161" s="20">
        <f>IF(U161="","",U161+Summary!$C$4)</f>
        <v/>
      </c>
      <c r="X161" s="16">
        <f>IF(OR(U161="",Y161="Removed",Y161="Deindexed only",Y161="No action needed"),"",TODAY()-U161)</f>
        <v/>
      </c>
      <c r="Y161" s="18" t="n"/>
      <c r="Z161" s="17" t="n"/>
      <c r="AA161" s="18" t="n"/>
      <c r="AB161" s="19" t="n"/>
    </row>
    <row r="162">
      <c r="A162" s="16">
        <f>IF(C162="","",ROW()-1)</f>
        <v/>
      </c>
      <c r="B162" s="17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9" t="n"/>
      <c r="L162" s="19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7" t="n"/>
      <c r="V162" s="18" t="n"/>
      <c r="W162" s="20">
        <f>IF(U162="","",U162+Summary!$C$4)</f>
        <v/>
      </c>
      <c r="X162" s="16">
        <f>IF(OR(U162="",Y162="Removed",Y162="Deindexed only",Y162="No action needed"),"",TODAY()-U162)</f>
        <v/>
      </c>
      <c r="Y162" s="18" t="n"/>
      <c r="Z162" s="17" t="n"/>
      <c r="AA162" s="18" t="n"/>
      <c r="AB162" s="19" t="n"/>
    </row>
    <row r="163">
      <c r="A163" s="16">
        <f>IF(C163="","",ROW()-1)</f>
        <v/>
      </c>
      <c r="B163" s="17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9" t="n"/>
      <c r="L163" s="19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7" t="n"/>
      <c r="V163" s="18" t="n"/>
      <c r="W163" s="20">
        <f>IF(U163="","",U163+Summary!$C$4)</f>
        <v/>
      </c>
      <c r="X163" s="16">
        <f>IF(OR(U163="",Y163="Removed",Y163="Deindexed only",Y163="No action needed"),"",TODAY()-U163)</f>
        <v/>
      </c>
      <c r="Y163" s="18" t="n"/>
      <c r="Z163" s="17" t="n"/>
      <c r="AA163" s="18" t="n"/>
      <c r="AB163" s="19" t="n"/>
    </row>
    <row r="164">
      <c r="A164" s="16">
        <f>IF(C164="","",ROW()-1)</f>
        <v/>
      </c>
      <c r="B164" s="17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9" t="n"/>
      <c r="L164" s="19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7" t="n"/>
      <c r="V164" s="18" t="n"/>
      <c r="W164" s="20">
        <f>IF(U164="","",U164+Summary!$C$4)</f>
        <v/>
      </c>
      <c r="X164" s="16">
        <f>IF(OR(U164="",Y164="Removed",Y164="Deindexed only",Y164="No action needed"),"",TODAY()-U164)</f>
        <v/>
      </c>
      <c r="Y164" s="18" t="n"/>
      <c r="Z164" s="17" t="n"/>
      <c r="AA164" s="18" t="n"/>
      <c r="AB164" s="19" t="n"/>
    </row>
    <row r="165">
      <c r="A165" s="16">
        <f>IF(C165="","",ROW()-1)</f>
        <v/>
      </c>
      <c r="B165" s="17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9" t="n"/>
      <c r="L165" s="19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7" t="n"/>
      <c r="V165" s="18" t="n"/>
      <c r="W165" s="20">
        <f>IF(U165="","",U165+Summary!$C$4)</f>
        <v/>
      </c>
      <c r="X165" s="16">
        <f>IF(OR(U165="",Y165="Removed",Y165="Deindexed only",Y165="No action needed"),"",TODAY()-U165)</f>
        <v/>
      </c>
      <c r="Y165" s="18" t="n"/>
      <c r="Z165" s="17" t="n"/>
      <c r="AA165" s="18" t="n"/>
      <c r="AB165" s="19" t="n"/>
    </row>
    <row r="166">
      <c r="A166" s="16">
        <f>IF(C166="","",ROW()-1)</f>
        <v/>
      </c>
      <c r="B166" s="17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9" t="n"/>
      <c r="L166" s="19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7" t="n"/>
      <c r="V166" s="18" t="n"/>
      <c r="W166" s="20">
        <f>IF(U166="","",U166+Summary!$C$4)</f>
        <v/>
      </c>
      <c r="X166" s="16">
        <f>IF(OR(U166="",Y166="Removed",Y166="Deindexed only",Y166="No action needed"),"",TODAY()-U166)</f>
        <v/>
      </c>
      <c r="Y166" s="18" t="n"/>
      <c r="Z166" s="17" t="n"/>
      <c r="AA166" s="18" t="n"/>
      <c r="AB166" s="19" t="n"/>
    </row>
    <row r="167">
      <c r="A167" s="16">
        <f>IF(C167="","",ROW()-1)</f>
        <v/>
      </c>
      <c r="B167" s="17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9" t="n"/>
      <c r="L167" s="19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7" t="n"/>
      <c r="V167" s="18" t="n"/>
      <c r="W167" s="20">
        <f>IF(U167="","",U167+Summary!$C$4)</f>
        <v/>
      </c>
      <c r="X167" s="16">
        <f>IF(OR(U167="",Y167="Removed",Y167="Deindexed only",Y167="No action needed"),"",TODAY()-U167)</f>
        <v/>
      </c>
      <c r="Y167" s="18" t="n"/>
      <c r="Z167" s="17" t="n"/>
      <c r="AA167" s="18" t="n"/>
      <c r="AB167" s="19" t="n"/>
    </row>
    <row r="168">
      <c r="A168" s="16">
        <f>IF(C168="","",ROW()-1)</f>
        <v/>
      </c>
      <c r="B168" s="17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9" t="n"/>
      <c r="L168" s="19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7" t="n"/>
      <c r="V168" s="18" t="n"/>
      <c r="W168" s="20">
        <f>IF(U168="","",U168+Summary!$C$4)</f>
        <v/>
      </c>
      <c r="X168" s="16">
        <f>IF(OR(U168="",Y168="Removed",Y168="Deindexed only",Y168="No action needed"),"",TODAY()-U168)</f>
        <v/>
      </c>
      <c r="Y168" s="18" t="n"/>
      <c r="Z168" s="17" t="n"/>
      <c r="AA168" s="18" t="n"/>
      <c r="AB168" s="19" t="n"/>
    </row>
    <row r="169">
      <c r="A169" s="16">
        <f>IF(C169="","",ROW()-1)</f>
        <v/>
      </c>
      <c r="B169" s="17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9" t="n"/>
      <c r="L169" s="19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7" t="n"/>
      <c r="V169" s="18" t="n"/>
      <c r="W169" s="20">
        <f>IF(U169="","",U169+Summary!$C$4)</f>
        <v/>
      </c>
      <c r="X169" s="16">
        <f>IF(OR(U169="",Y169="Removed",Y169="Deindexed only",Y169="No action needed"),"",TODAY()-U169)</f>
        <v/>
      </c>
      <c r="Y169" s="18" t="n"/>
      <c r="Z169" s="17" t="n"/>
      <c r="AA169" s="18" t="n"/>
      <c r="AB169" s="19" t="n"/>
    </row>
    <row r="170">
      <c r="A170" s="16">
        <f>IF(C170="","",ROW()-1)</f>
        <v/>
      </c>
      <c r="B170" s="17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9" t="n"/>
      <c r="L170" s="19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7" t="n"/>
      <c r="V170" s="18" t="n"/>
      <c r="W170" s="20">
        <f>IF(U170="","",U170+Summary!$C$4)</f>
        <v/>
      </c>
      <c r="X170" s="16">
        <f>IF(OR(U170="",Y170="Removed",Y170="Deindexed only",Y170="No action needed"),"",TODAY()-U170)</f>
        <v/>
      </c>
      <c r="Y170" s="18" t="n"/>
      <c r="Z170" s="17" t="n"/>
      <c r="AA170" s="18" t="n"/>
      <c r="AB170" s="19" t="n"/>
    </row>
    <row r="171">
      <c r="A171" s="16">
        <f>IF(C171="","",ROW()-1)</f>
        <v/>
      </c>
      <c r="B171" s="17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9" t="n"/>
      <c r="L171" s="19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7" t="n"/>
      <c r="V171" s="18" t="n"/>
      <c r="W171" s="20">
        <f>IF(U171="","",U171+Summary!$C$4)</f>
        <v/>
      </c>
      <c r="X171" s="16">
        <f>IF(OR(U171="",Y171="Removed",Y171="Deindexed only",Y171="No action needed"),"",TODAY()-U171)</f>
        <v/>
      </c>
      <c r="Y171" s="18" t="n"/>
      <c r="Z171" s="17" t="n"/>
      <c r="AA171" s="18" t="n"/>
      <c r="AB171" s="19" t="n"/>
    </row>
    <row r="172">
      <c r="A172" s="16">
        <f>IF(C172="","",ROW()-1)</f>
        <v/>
      </c>
      <c r="B172" s="17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9" t="n"/>
      <c r="L172" s="19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7" t="n"/>
      <c r="V172" s="18" t="n"/>
      <c r="W172" s="20">
        <f>IF(U172="","",U172+Summary!$C$4)</f>
        <v/>
      </c>
      <c r="X172" s="16">
        <f>IF(OR(U172="",Y172="Removed",Y172="Deindexed only",Y172="No action needed"),"",TODAY()-U172)</f>
        <v/>
      </c>
      <c r="Y172" s="18" t="n"/>
      <c r="Z172" s="17" t="n"/>
      <c r="AA172" s="18" t="n"/>
      <c r="AB172" s="19" t="n"/>
    </row>
    <row r="173">
      <c r="A173" s="16">
        <f>IF(C173="","",ROW()-1)</f>
        <v/>
      </c>
      <c r="B173" s="17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9" t="n"/>
      <c r="L173" s="19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7" t="n"/>
      <c r="V173" s="18" t="n"/>
      <c r="W173" s="20">
        <f>IF(U173="","",U173+Summary!$C$4)</f>
        <v/>
      </c>
      <c r="X173" s="16">
        <f>IF(OR(U173="",Y173="Removed",Y173="Deindexed only",Y173="No action needed"),"",TODAY()-U173)</f>
        <v/>
      </c>
      <c r="Y173" s="18" t="n"/>
      <c r="Z173" s="17" t="n"/>
      <c r="AA173" s="18" t="n"/>
      <c r="AB173" s="19" t="n"/>
    </row>
    <row r="174">
      <c r="A174" s="16">
        <f>IF(C174="","",ROW()-1)</f>
        <v/>
      </c>
      <c r="B174" s="17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9" t="n"/>
      <c r="L174" s="19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7" t="n"/>
      <c r="V174" s="18" t="n"/>
      <c r="W174" s="20">
        <f>IF(U174="","",U174+Summary!$C$4)</f>
        <v/>
      </c>
      <c r="X174" s="16">
        <f>IF(OR(U174="",Y174="Removed",Y174="Deindexed only",Y174="No action needed"),"",TODAY()-U174)</f>
        <v/>
      </c>
      <c r="Y174" s="18" t="n"/>
      <c r="Z174" s="17" t="n"/>
      <c r="AA174" s="18" t="n"/>
      <c r="AB174" s="19" t="n"/>
    </row>
    <row r="175">
      <c r="A175" s="16">
        <f>IF(C175="","",ROW()-1)</f>
        <v/>
      </c>
      <c r="B175" s="17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9" t="n"/>
      <c r="L175" s="19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7" t="n"/>
      <c r="V175" s="18" t="n"/>
      <c r="W175" s="20">
        <f>IF(U175="","",U175+Summary!$C$4)</f>
        <v/>
      </c>
      <c r="X175" s="16">
        <f>IF(OR(U175="",Y175="Removed",Y175="Deindexed only",Y175="No action needed"),"",TODAY()-U175)</f>
        <v/>
      </c>
      <c r="Y175" s="18" t="n"/>
      <c r="Z175" s="17" t="n"/>
      <c r="AA175" s="18" t="n"/>
      <c r="AB175" s="19" t="n"/>
    </row>
    <row r="176">
      <c r="A176" s="16">
        <f>IF(C176="","",ROW()-1)</f>
        <v/>
      </c>
      <c r="B176" s="17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9" t="n"/>
      <c r="L176" s="19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7" t="n"/>
      <c r="V176" s="18" t="n"/>
      <c r="W176" s="20">
        <f>IF(U176="","",U176+Summary!$C$4)</f>
        <v/>
      </c>
      <c r="X176" s="16">
        <f>IF(OR(U176="",Y176="Removed",Y176="Deindexed only",Y176="No action needed"),"",TODAY()-U176)</f>
        <v/>
      </c>
      <c r="Y176" s="18" t="n"/>
      <c r="Z176" s="17" t="n"/>
      <c r="AA176" s="18" t="n"/>
      <c r="AB176" s="19" t="n"/>
    </row>
    <row r="177">
      <c r="A177" s="16">
        <f>IF(C177="","",ROW()-1)</f>
        <v/>
      </c>
      <c r="B177" s="17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9" t="n"/>
      <c r="L177" s="19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7" t="n"/>
      <c r="V177" s="18" t="n"/>
      <c r="W177" s="20">
        <f>IF(U177="","",U177+Summary!$C$4)</f>
        <v/>
      </c>
      <c r="X177" s="16">
        <f>IF(OR(U177="",Y177="Removed",Y177="Deindexed only",Y177="No action needed"),"",TODAY()-U177)</f>
        <v/>
      </c>
      <c r="Y177" s="18" t="n"/>
      <c r="Z177" s="17" t="n"/>
      <c r="AA177" s="18" t="n"/>
      <c r="AB177" s="19" t="n"/>
    </row>
    <row r="178">
      <c r="A178" s="16">
        <f>IF(C178="","",ROW()-1)</f>
        <v/>
      </c>
      <c r="B178" s="17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9" t="n"/>
      <c r="L178" s="19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7" t="n"/>
      <c r="V178" s="18" t="n"/>
      <c r="W178" s="20">
        <f>IF(U178="","",U178+Summary!$C$4)</f>
        <v/>
      </c>
      <c r="X178" s="16">
        <f>IF(OR(U178="",Y178="Removed",Y178="Deindexed only",Y178="No action needed"),"",TODAY()-U178)</f>
        <v/>
      </c>
      <c r="Y178" s="18" t="n"/>
      <c r="Z178" s="17" t="n"/>
      <c r="AA178" s="18" t="n"/>
      <c r="AB178" s="19" t="n"/>
    </row>
    <row r="179">
      <c r="A179" s="16">
        <f>IF(C179="","",ROW()-1)</f>
        <v/>
      </c>
      <c r="B179" s="17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9" t="n"/>
      <c r="L179" s="19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7" t="n"/>
      <c r="V179" s="18" t="n"/>
      <c r="W179" s="20">
        <f>IF(U179="","",U179+Summary!$C$4)</f>
        <v/>
      </c>
      <c r="X179" s="16">
        <f>IF(OR(U179="",Y179="Removed",Y179="Deindexed only",Y179="No action needed"),"",TODAY()-U179)</f>
        <v/>
      </c>
      <c r="Y179" s="18" t="n"/>
      <c r="Z179" s="17" t="n"/>
      <c r="AA179" s="18" t="n"/>
      <c r="AB179" s="19" t="n"/>
    </row>
    <row r="180">
      <c r="A180" s="16">
        <f>IF(C180="","",ROW()-1)</f>
        <v/>
      </c>
      <c r="B180" s="17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9" t="n"/>
      <c r="L180" s="19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7" t="n"/>
      <c r="V180" s="18" t="n"/>
      <c r="W180" s="20">
        <f>IF(U180="","",U180+Summary!$C$4)</f>
        <v/>
      </c>
      <c r="X180" s="16">
        <f>IF(OR(U180="",Y180="Removed",Y180="Deindexed only",Y180="No action needed"),"",TODAY()-U180)</f>
        <v/>
      </c>
      <c r="Y180" s="18" t="n"/>
      <c r="Z180" s="17" t="n"/>
      <c r="AA180" s="18" t="n"/>
      <c r="AB180" s="19" t="n"/>
    </row>
    <row r="181">
      <c r="A181" s="16">
        <f>IF(C181="","",ROW()-1)</f>
        <v/>
      </c>
      <c r="B181" s="17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9" t="n"/>
      <c r="L181" s="19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7" t="n"/>
      <c r="V181" s="18" t="n"/>
      <c r="W181" s="20">
        <f>IF(U181="","",U181+Summary!$C$4)</f>
        <v/>
      </c>
      <c r="X181" s="16">
        <f>IF(OR(U181="",Y181="Removed",Y181="Deindexed only",Y181="No action needed"),"",TODAY()-U181)</f>
        <v/>
      </c>
      <c r="Y181" s="18" t="n"/>
      <c r="Z181" s="17" t="n"/>
      <c r="AA181" s="18" t="n"/>
      <c r="AB181" s="19" t="n"/>
    </row>
    <row r="182">
      <c r="A182" s="16">
        <f>IF(C182="","",ROW()-1)</f>
        <v/>
      </c>
      <c r="B182" s="17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9" t="n"/>
      <c r="L182" s="19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7" t="n"/>
      <c r="V182" s="18" t="n"/>
      <c r="W182" s="20">
        <f>IF(U182="","",U182+Summary!$C$4)</f>
        <v/>
      </c>
      <c r="X182" s="16">
        <f>IF(OR(U182="",Y182="Removed",Y182="Deindexed only",Y182="No action needed"),"",TODAY()-U182)</f>
        <v/>
      </c>
      <c r="Y182" s="18" t="n"/>
      <c r="Z182" s="17" t="n"/>
      <c r="AA182" s="18" t="n"/>
      <c r="AB182" s="19" t="n"/>
    </row>
    <row r="183">
      <c r="A183" s="16">
        <f>IF(C183="","",ROW()-1)</f>
        <v/>
      </c>
      <c r="B183" s="17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9" t="n"/>
      <c r="L183" s="19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7" t="n"/>
      <c r="V183" s="18" t="n"/>
      <c r="W183" s="20">
        <f>IF(U183="","",U183+Summary!$C$4)</f>
        <v/>
      </c>
      <c r="X183" s="16">
        <f>IF(OR(U183="",Y183="Removed",Y183="Deindexed only",Y183="No action needed"),"",TODAY()-U183)</f>
        <v/>
      </c>
      <c r="Y183" s="18" t="n"/>
      <c r="Z183" s="17" t="n"/>
      <c r="AA183" s="18" t="n"/>
      <c r="AB183" s="19" t="n"/>
    </row>
    <row r="184">
      <c r="A184" s="16">
        <f>IF(C184="","",ROW()-1)</f>
        <v/>
      </c>
      <c r="B184" s="17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9" t="n"/>
      <c r="L184" s="19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7" t="n"/>
      <c r="V184" s="18" t="n"/>
      <c r="W184" s="20">
        <f>IF(U184="","",U184+Summary!$C$4)</f>
        <v/>
      </c>
      <c r="X184" s="16">
        <f>IF(OR(U184="",Y184="Removed",Y184="Deindexed only",Y184="No action needed"),"",TODAY()-U184)</f>
        <v/>
      </c>
      <c r="Y184" s="18" t="n"/>
      <c r="Z184" s="17" t="n"/>
      <c r="AA184" s="18" t="n"/>
      <c r="AB184" s="19" t="n"/>
    </row>
    <row r="185">
      <c r="A185" s="16">
        <f>IF(C185="","",ROW()-1)</f>
        <v/>
      </c>
      <c r="B185" s="17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9" t="n"/>
      <c r="L185" s="19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7" t="n"/>
      <c r="V185" s="18" t="n"/>
      <c r="W185" s="20">
        <f>IF(U185="","",U185+Summary!$C$4)</f>
        <v/>
      </c>
      <c r="X185" s="16">
        <f>IF(OR(U185="",Y185="Removed",Y185="Deindexed only",Y185="No action needed"),"",TODAY()-U185)</f>
        <v/>
      </c>
      <c r="Y185" s="18" t="n"/>
      <c r="Z185" s="17" t="n"/>
      <c r="AA185" s="18" t="n"/>
      <c r="AB185" s="19" t="n"/>
    </row>
    <row r="186">
      <c r="A186" s="16">
        <f>IF(C186="","",ROW()-1)</f>
        <v/>
      </c>
      <c r="B186" s="17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9" t="n"/>
      <c r="L186" s="19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7" t="n"/>
      <c r="V186" s="18" t="n"/>
      <c r="W186" s="20">
        <f>IF(U186="","",U186+Summary!$C$4)</f>
        <v/>
      </c>
      <c r="X186" s="16">
        <f>IF(OR(U186="",Y186="Removed",Y186="Deindexed only",Y186="No action needed"),"",TODAY()-U186)</f>
        <v/>
      </c>
      <c r="Y186" s="18" t="n"/>
      <c r="Z186" s="17" t="n"/>
      <c r="AA186" s="18" t="n"/>
      <c r="AB186" s="19" t="n"/>
    </row>
    <row r="187">
      <c r="A187" s="16">
        <f>IF(C187="","",ROW()-1)</f>
        <v/>
      </c>
      <c r="B187" s="17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9" t="n"/>
      <c r="L187" s="19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7" t="n"/>
      <c r="V187" s="18" t="n"/>
      <c r="W187" s="20">
        <f>IF(U187="","",U187+Summary!$C$4)</f>
        <v/>
      </c>
      <c r="X187" s="16">
        <f>IF(OR(U187="",Y187="Removed",Y187="Deindexed only",Y187="No action needed"),"",TODAY()-U187)</f>
        <v/>
      </c>
      <c r="Y187" s="18" t="n"/>
      <c r="Z187" s="17" t="n"/>
      <c r="AA187" s="18" t="n"/>
      <c r="AB187" s="19" t="n"/>
    </row>
    <row r="188">
      <c r="A188" s="16">
        <f>IF(C188="","",ROW()-1)</f>
        <v/>
      </c>
      <c r="B188" s="17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9" t="n"/>
      <c r="L188" s="19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7" t="n"/>
      <c r="V188" s="18" t="n"/>
      <c r="W188" s="20">
        <f>IF(U188="","",U188+Summary!$C$4)</f>
        <v/>
      </c>
      <c r="X188" s="16">
        <f>IF(OR(U188="",Y188="Removed",Y188="Deindexed only",Y188="No action needed"),"",TODAY()-U188)</f>
        <v/>
      </c>
      <c r="Y188" s="18" t="n"/>
      <c r="Z188" s="17" t="n"/>
      <c r="AA188" s="18" t="n"/>
      <c r="AB188" s="19" t="n"/>
    </row>
    <row r="189">
      <c r="A189" s="16">
        <f>IF(C189="","",ROW()-1)</f>
        <v/>
      </c>
      <c r="B189" s="17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9" t="n"/>
      <c r="L189" s="19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7" t="n"/>
      <c r="V189" s="18" t="n"/>
      <c r="W189" s="20">
        <f>IF(U189="","",U189+Summary!$C$4)</f>
        <v/>
      </c>
      <c r="X189" s="16">
        <f>IF(OR(U189="",Y189="Removed",Y189="Deindexed only",Y189="No action needed"),"",TODAY()-U189)</f>
        <v/>
      </c>
      <c r="Y189" s="18" t="n"/>
      <c r="Z189" s="17" t="n"/>
      <c r="AA189" s="18" t="n"/>
      <c r="AB189" s="19" t="n"/>
    </row>
    <row r="190">
      <c r="A190" s="16">
        <f>IF(C190="","",ROW()-1)</f>
        <v/>
      </c>
      <c r="B190" s="17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9" t="n"/>
      <c r="L190" s="19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7" t="n"/>
      <c r="V190" s="18" t="n"/>
      <c r="W190" s="20">
        <f>IF(U190="","",U190+Summary!$C$4)</f>
        <v/>
      </c>
      <c r="X190" s="16">
        <f>IF(OR(U190="",Y190="Removed",Y190="Deindexed only",Y190="No action needed"),"",TODAY()-U190)</f>
        <v/>
      </c>
      <c r="Y190" s="18" t="n"/>
      <c r="Z190" s="17" t="n"/>
      <c r="AA190" s="18" t="n"/>
      <c r="AB190" s="19" t="n"/>
    </row>
    <row r="191">
      <c r="A191" s="16">
        <f>IF(C191="","",ROW()-1)</f>
        <v/>
      </c>
      <c r="B191" s="17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9" t="n"/>
      <c r="L191" s="19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7" t="n"/>
      <c r="V191" s="18" t="n"/>
      <c r="W191" s="20">
        <f>IF(U191="","",U191+Summary!$C$4)</f>
        <v/>
      </c>
      <c r="X191" s="16">
        <f>IF(OR(U191="",Y191="Removed",Y191="Deindexed only",Y191="No action needed"),"",TODAY()-U191)</f>
        <v/>
      </c>
      <c r="Y191" s="18" t="n"/>
      <c r="Z191" s="17" t="n"/>
      <c r="AA191" s="18" t="n"/>
      <c r="AB191" s="19" t="n"/>
    </row>
    <row r="192">
      <c r="A192" s="16">
        <f>IF(C192="","",ROW()-1)</f>
        <v/>
      </c>
      <c r="B192" s="17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9" t="n"/>
      <c r="L192" s="19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7" t="n"/>
      <c r="V192" s="18" t="n"/>
      <c r="W192" s="20">
        <f>IF(U192="","",U192+Summary!$C$4)</f>
        <v/>
      </c>
      <c r="X192" s="16">
        <f>IF(OR(U192="",Y192="Removed",Y192="Deindexed only",Y192="No action needed"),"",TODAY()-U192)</f>
        <v/>
      </c>
      <c r="Y192" s="18" t="n"/>
      <c r="Z192" s="17" t="n"/>
      <c r="AA192" s="18" t="n"/>
      <c r="AB192" s="19" t="n"/>
    </row>
    <row r="193">
      <c r="A193" s="16">
        <f>IF(C193="","",ROW()-1)</f>
        <v/>
      </c>
      <c r="B193" s="17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9" t="n"/>
      <c r="L193" s="19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7" t="n"/>
      <c r="V193" s="18" t="n"/>
      <c r="W193" s="20">
        <f>IF(U193="","",U193+Summary!$C$4)</f>
        <v/>
      </c>
      <c r="X193" s="16">
        <f>IF(OR(U193="",Y193="Removed",Y193="Deindexed only",Y193="No action needed"),"",TODAY()-U193)</f>
        <v/>
      </c>
      <c r="Y193" s="18" t="n"/>
      <c r="Z193" s="17" t="n"/>
      <c r="AA193" s="18" t="n"/>
      <c r="AB193" s="19" t="n"/>
    </row>
    <row r="194">
      <c r="A194" s="16">
        <f>IF(C194="","",ROW()-1)</f>
        <v/>
      </c>
      <c r="B194" s="17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9" t="n"/>
      <c r="L194" s="19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7" t="n"/>
      <c r="V194" s="18" t="n"/>
      <c r="W194" s="20">
        <f>IF(U194="","",U194+Summary!$C$4)</f>
        <v/>
      </c>
      <c r="X194" s="16">
        <f>IF(OR(U194="",Y194="Removed",Y194="Deindexed only",Y194="No action needed"),"",TODAY()-U194)</f>
        <v/>
      </c>
      <c r="Y194" s="18" t="n"/>
      <c r="Z194" s="17" t="n"/>
      <c r="AA194" s="18" t="n"/>
      <c r="AB194" s="19" t="n"/>
    </row>
    <row r="195">
      <c r="A195" s="16">
        <f>IF(C195="","",ROW()-1)</f>
        <v/>
      </c>
      <c r="B195" s="17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9" t="n"/>
      <c r="L195" s="19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7" t="n"/>
      <c r="V195" s="18" t="n"/>
      <c r="W195" s="20">
        <f>IF(U195="","",U195+Summary!$C$4)</f>
        <v/>
      </c>
      <c r="X195" s="16">
        <f>IF(OR(U195="",Y195="Removed",Y195="Deindexed only",Y195="No action needed"),"",TODAY()-U195)</f>
        <v/>
      </c>
      <c r="Y195" s="18" t="n"/>
      <c r="Z195" s="17" t="n"/>
      <c r="AA195" s="18" t="n"/>
      <c r="AB195" s="19" t="n"/>
    </row>
    <row r="196">
      <c r="A196" s="16">
        <f>IF(C196="","",ROW()-1)</f>
        <v/>
      </c>
      <c r="B196" s="17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9" t="n"/>
      <c r="L196" s="19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7" t="n"/>
      <c r="V196" s="18" t="n"/>
      <c r="W196" s="20">
        <f>IF(U196="","",U196+Summary!$C$4)</f>
        <v/>
      </c>
      <c r="X196" s="16">
        <f>IF(OR(U196="",Y196="Removed",Y196="Deindexed only",Y196="No action needed"),"",TODAY()-U196)</f>
        <v/>
      </c>
      <c r="Y196" s="18" t="n"/>
      <c r="Z196" s="17" t="n"/>
      <c r="AA196" s="18" t="n"/>
      <c r="AB196" s="19" t="n"/>
    </row>
    <row r="197">
      <c r="A197" s="16">
        <f>IF(C197="","",ROW()-1)</f>
        <v/>
      </c>
      <c r="B197" s="17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9" t="n"/>
      <c r="L197" s="19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7" t="n"/>
      <c r="V197" s="18" t="n"/>
      <c r="W197" s="20">
        <f>IF(U197="","",U197+Summary!$C$4)</f>
        <v/>
      </c>
      <c r="X197" s="16">
        <f>IF(OR(U197="",Y197="Removed",Y197="Deindexed only",Y197="No action needed"),"",TODAY()-U197)</f>
        <v/>
      </c>
      <c r="Y197" s="18" t="n"/>
      <c r="Z197" s="17" t="n"/>
      <c r="AA197" s="18" t="n"/>
      <c r="AB197" s="19" t="n"/>
    </row>
    <row r="198">
      <c r="A198" s="16">
        <f>IF(C198="","",ROW()-1)</f>
        <v/>
      </c>
      <c r="B198" s="17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9" t="n"/>
      <c r="L198" s="19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7" t="n"/>
      <c r="V198" s="18" t="n"/>
      <c r="W198" s="20">
        <f>IF(U198="","",U198+Summary!$C$4)</f>
        <v/>
      </c>
      <c r="X198" s="16">
        <f>IF(OR(U198="",Y198="Removed",Y198="Deindexed only",Y198="No action needed"),"",TODAY()-U198)</f>
        <v/>
      </c>
      <c r="Y198" s="18" t="n"/>
      <c r="Z198" s="17" t="n"/>
      <c r="AA198" s="18" t="n"/>
      <c r="AB198" s="19" t="n"/>
    </row>
    <row r="199">
      <c r="A199" s="16">
        <f>IF(C199="","",ROW()-1)</f>
        <v/>
      </c>
      <c r="B199" s="17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9" t="n"/>
      <c r="L199" s="19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7" t="n"/>
      <c r="V199" s="18" t="n"/>
      <c r="W199" s="20">
        <f>IF(U199="","",U199+Summary!$C$4)</f>
        <v/>
      </c>
      <c r="X199" s="16">
        <f>IF(OR(U199="",Y199="Removed",Y199="Deindexed only",Y199="No action needed"),"",TODAY()-U199)</f>
        <v/>
      </c>
      <c r="Y199" s="18" t="n"/>
      <c r="Z199" s="17" t="n"/>
      <c r="AA199" s="18" t="n"/>
      <c r="AB199" s="19" t="n"/>
    </row>
    <row r="200">
      <c r="A200" s="16">
        <f>IF(C200="","",ROW()-1)</f>
        <v/>
      </c>
      <c r="B200" s="17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9" t="n"/>
      <c r="L200" s="19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7" t="n"/>
      <c r="V200" s="18" t="n"/>
      <c r="W200" s="20">
        <f>IF(U200="","",U200+Summary!$C$4)</f>
        <v/>
      </c>
      <c r="X200" s="16">
        <f>IF(OR(U200="",Y200="Removed",Y200="Deindexed only",Y200="No action needed"),"",TODAY()-U200)</f>
        <v/>
      </c>
      <c r="Y200" s="18" t="n"/>
      <c r="Z200" s="17" t="n"/>
      <c r="AA200" s="18" t="n"/>
      <c r="AB200" s="19" t="n"/>
    </row>
    <row r="201">
      <c r="A201" s="16">
        <f>IF(C201="","",ROW()-1)</f>
        <v/>
      </c>
      <c r="B201" s="17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9" t="n"/>
      <c r="L201" s="19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7" t="n"/>
      <c r="V201" s="18" t="n"/>
      <c r="W201" s="20">
        <f>IF(U201="","",U201+Summary!$C$4)</f>
        <v/>
      </c>
      <c r="X201" s="16">
        <f>IF(OR(U201="",Y201="Removed",Y201="Deindexed only",Y201="No action needed"),"",TODAY()-U201)</f>
        <v/>
      </c>
      <c r="Y201" s="18" t="n"/>
      <c r="Z201" s="17" t="n"/>
      <c r="AA201" s="18" t="n"/>
      <c r="AB201" s="19" t="n"/>
    </row>
    <row r="202">
      <c r="A202" s="16">
        <f>IF(C202="","",ROW()-1)</f>
        <v/>
      </c>
      <c r="B202" s="17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9" t="n"/>
      <c r="L202" s="19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7" t="n"/>
      <c r="V202" s="18" t="n"/>
      <c r="W202" s="20">
        <f>IF(U202="","",U202+Summary!$C$4)</f>
        <v/>
      </c>
      <c r="X202" s="16">
        <f>IF(OR(U202="",Y202="Removed",Y202="Deindexed only",Y202="No action needed"),"",TODAY()-U202)</f>
        <v/>
      </c>
      <c r="Y202" s="18" t="n"/>
      <c r="Z202" s="17" t="n"/>
      <c r="AA202" s="18" t="n"/>
      <c r="AB202" s="19" t="n"/>
    </row>
    <row r="203">
      <c r="A203" s="16">
        <f>IF(C203="","",ROW()-1)</f>
        <v/>
      </c>
      <c r="B203" s="17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9" t="n"/>
      <c r="L203" s="19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7" t="n"/>
      <c r="V203" s="18" t="n"/>
      <c r="W203" s="20">
        <f>IF(U203="","",U203+Summary!$C$4)</f>
        <v/>
      </c>
      <c r="X203" s="16">
        <f>IF(OR(U203="",Y203="Removed",Y203="Deindexed only",Y203="No action needed"),"",TODAY()-U203)</f>
        <v/>
      </c>
      <c r="Y203" s="18" t="n"/>
      <c r="Z203" s="17" t="n"/>
      <c r="AA203" s="18" t="n"/>
      <c r="AB203" s="19" t="n"/>
    </row>
    <row r="204">
      <c r="A204" s="16">
        <f>IF(C204="","",ROW()-1)</f>
        <v/>
      </c>
      <c r="B204" s="17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9" t="n"/>
      <c r="L204" s="19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7" t="n"/>
      <c r="V204" s="18" t="n"/>
      <c r="W204" s="20">
        <f>IF(U204="","",U204+Summary!$C$4)</f>
        <v/>
      </c>
      <c r="X204" s="16">
        <f>IF(OR(U204="",Y204="Removed",Y204="Deindexed only",Y204="No action needed"),"",TODAY()-U204)</f>
        <v/>
      </c>
      <c r="Y204" s="18" t="n"/>
      <c r="Z204" s="17" t="n"/>
      <c r="AA204" s="18" t="n"/>
      <c r="AB204" s="19" t="n"/>
    </row>
    <row r="205">
      <c r="A205" s="16">
        <f>IF(C205="","",ROW()-1)</f>
        <v/>
      </c>
      <c r="B205" s="17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9" t="n"/>
      <c r="L205" s="19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7" t="n"/>
      <c r="V205" s="18" t="n"/>
      <c r="W205" s="20">
        <f>IF(U205="","",U205+Summary!$C$4)</f>
        <v/>
      </c>
      <c r="X205" s="16">
        <f>IF(OR(U205="",Y205="Removed",Y205="Deindexed only",Y205="No action needed"),"",TODAY()-U205)</f>
        <v/>
      </c>
      <c r="Y205" s="18" t="n"/>
      <c r="Z205" s="17" t="n"/>
      <c r="AA205" s="18" t="n"/>
      <c r="AB205" s="19" t="n"/>
    </row>
    <row r="206">
      <c r="A206" s="16">
        <f>IF(C206="","",ROW()-1)</f>
        <v/>
      </c>
      <c r="B206" s="17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9" t="n"/>
      <c r="L206" s="19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7" t="n"/>
      <c r="V206" s="18" t="n"/>
      <c r="W206" s="20">
        <f>IF(U206="","",U206+Summary!$C$4)</f>
        <v/>
      </c>
      <c r="X206" s="16">
        <f>IF(OR(U206="",Y206="Removed",Y206="Deindexed only",Y206="No action needed"),"",TODAY()-U206)</f>
        <v/>
      </c>
      <c r="Y206" s="18" t="n"/>
      <c r="Z206" s="17" t="n"/>
      <c r="AA206" s="18" t="n"/>
      <c r="AB206" s="19" t="n"/>
    </row>
    <row r="207">
      <c r="A207" s="16">
        <f>IF(C207="","",ROW()-1)</f>
        <v/>
      </c>
      <c r="B207" s="17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9" t="n"/>
      <c r="L207" s="19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7" t="n"/>
      <c r="V207" s="18" t="n"/>
      <c r="W207" s="20">
        <f>IF(U207="","",U207+Summary!$C$4)</f>
        <v/>
      </c>
      <c r="X207" s="16">
        <f>IF(OR(U207="",Y207="Removed",Y207="Deindexed only",Y207="No action needed"),"",TODAY()-U207)</f>
        <v/>
      </c>
      <c r="Y207" s="18" t="n"/>
      <c r="Z207" s="17" t="n"/>
      <c r="AA207" s="18" t="n"/>
      <c r="AB207" s="19" t="n"/>
    </row>
    <row r="208">
      <c r="A208" s="16">
        <f>IF(C208="","",ROW()-1)</f>
        <v/>
      </c>
      <c r="B208" s="17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9" t="n"/>
      <c r="L208" s="19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7" t="n"/>
      <c r="V208" s="18" t="n"/>
      <c r="W208" s="20">
        <f>IF(U208="","",U208+Summary!$C$4)</f>
        <v/>
      </c>
      <c r="X208" s="16">
        <f>IF(OR(U208="",Y208="Removed",Y208="Deindexed only",Y208="No action needed"),"",TODAY()-U208)</f>
        <v/>
      </c>
      <c r="Y208" s="18" t="n"/>
      <c r="Z208" s="17" t="n"/>
      <c r="AA208" s="18" t="n"/>
      <c r="AB208" s="19" t="n"/>
    </row>
    <row r="209">
      <c r="A209" s="16">
        <f>IF(C209="","",ROW()-1)</f>
        <v/>
      </c>
      <c r="B209" s="17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9" t="n"/>
      <c r="L209" s="19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7" t="n"/>
      <c r="V209" s="18" t="n"/>
      <c r="W209" s="20">
        <f>IF(U209="","",U209+Summary!$C$4)</f>
        <v/>
      </c>
      <c r="X209" s="16">
        <f>IF(OR(U209="",Y209="Removed",Y209="Deindexed only",Y209="No action needed"),"",TODAY()-U209)</f>
        <v/>
      </c>
      <c r="Y209" s="18" t="n"/>
      <c r="Z209" s="17" t="n"/>
      <c r="AA209" s="18" t="n"/>
      <c r="AB209" s="19" t="n"/>
    </row>
    <row r="210">
      <c r="A210" s="16">
        <f>IF(C210="","",ROW()-1)</f>
        <v/>
      </c>
      <c r="B210" s="17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9" t="n"/>
      <c r="L210" s="19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7" t="n"/>
      <c r="V210" s="18" t="n"/>
      <c r="W210" s="20">
        <f>IF(U210="","",U210+Summary!$C$4)</f>
        <v/>
      </c>
      <c r="X210" s="16">
        <f>IF(OR(U210="",Y210="Removed",Y210="Deindexed only",Y210="No action needed"),"",TODAY()-U210)</f>
        <v/>
      </c>
      <c r="Y210" s="18" t="n"/>
      <c r="Z210" s="17" t="n"/>
      <c r="AA210" s="18" t="n"/>
      <c r="AB210" s="19" t="n"/>
    </row>
    <row r="211">
      <c r="A211" s="16">
        <f>IF(C211="","",ROW()-1)</f>
        <v/>
      </c>
      <c r="B211" s="17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9" t="n"/>
      <c r="L211" s="19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7" t="n"/>
      <c r="V211" s="18" t="n"/>
      <c r="W211" s="20">
        <f>IF(U211="","",U211+Summary!$C$4)</f>
        <v/>
      </c>
      <c r="X211" s="16">
        <f>IF(OR(U211="",Y211="Removed",Y211="Deindexed only",Y211="No action needed"),"",TODAY()-U211)</f>
        <v/>
      </c>
      <c r="Y211" s="18" t="n"/>
      <c r="Z211" s="17" t="n"/>
      <c r="AA211" s="18" t="n"/>
      <c r="AB211" s="19" t="n"/>
    </row>
    <row r="212">
      <c r="A212" s="16">
        <f>IF(C212="","",ROW()-1)</f>
        <v/>
      </c>
      <c r="B212" s="17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9" t="n"/>
      <c r="L212" s="19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7" t="n"/>
      <c r="V212" s="18" t="n"/>
      <c r="W212" s="20">
        <f>IF(U212="","",U212+Summary!$C$4)</f>
        <v/>
      </c>
      <c r="X212" s="16">
        <f>IF(OR(U212="",Y212="Removed",Y212="Deindexed only",Y212="No action needed"),"",TODAY()-U212)</f>
        <v/>
      </c>
      <c r="Y212" s="18" t="n"/>
      <c r="Z212" s="17" t="n"/>
      <c r="AA212" s="18" t="n"/>
      <c r="AB212" s="19" t="n"/>
    </row>
    <row r="213">
      <c r="A213" s="16">
        <f>IF(C213="","",ROW()-1)</f>
        <v/>
      </c>
      <c r="B213" s="17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9" t="n"/>
      <c r="L213" s="19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7" t="n"/>
      <c r="V213" s="18" t="n"/>
      <c r="W213" s="20">
        <f>IF(U213="","",U213+Summary!$C$4)</f>
        <v/>
      </c>
      <c r="X213" s="16">
        <f>IF(OR(U213="",Y213="Removed",Y213="Deindexed only",Y213="No action needed"),"",TODAY()-U213)</f>
        <v/>
      </c>
      <c r="Y213" s="18" t="n"/>
      <c r="Z213" s="17" t="n"/>
      <c r="AA213" s="18" t="n"/>
      <c r="AB213" s="19" t="n"/>
    </row>
    <row r="214">
      <c r="A214" s="16">
        <f>IF(C214="","",ROW()-1)</f>
        <v/>
      </c>
      <c r="B214" s="17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9" t="n"/>
      <c r="L214" s="19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7" t="n"/>
      <c r="V214" s="18" t="n"/>
      <c r="W214" s="20">
        <f>IF(U214="","",U214+Summary!$C$4)</f>
        <v/>
      </c>
      <c r="X214" s="16">
        <f>IF(OR(U214="",Y214="Removed",Y214="Deindexed only",Y214="No action needed"),"",TODAY()-U214)</f>
        <v/>
      </c>
      <c r="Y214" s="18" t="n"/>
      <c r="Z214" s="17" t="n"/>
      <c r="AA214" s="18" t="n"/>
      <c r="AB214" s="19" t="n"/>
    </row>
    <row r="215">
      <c r="A215" s="16">
        <f>IF(C215="","",ROW()-1)</f>
        <v/>
      </c>
      <c r="B215" s="17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9" t="n"/>
      <c r="L215" s="19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7" t="n"/>
      <c r="V215" s="18" t="n"/>
      <c r="W215" s="20">
        <f>IF(U215="","",U215+Summary!$C$4)</f>
        <v/>
      </c>
      <c r="X215" s="16">
        <f>IF(OR(U215="",Y215="Removed",Y215="Deindexed only",Y215="No action needed"),"",TODAY()-U215)</f>
        <v/>
      </c>
      <c r="Y215" s="18" t="n"/>
      <c r="Z215" s="17" t="n"/>
      <c r="AA215" s="18" t="n"/>
      <c r="AB215" s="19" t="n"/>
    </row>
    <row r="216">
      <c r="A216" s="16">
        <f>IF(C216="","",ROW()-1)</f>
        <v/>
      </c>
      <c r="B216" s="17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9" t="n"/>
      <c r="L216" s="19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7" t="n"/>
      <c r="V216" s="18" t="n"/>
      <c r="W216" s="20">
        <f>IF(U216="","",U216+Summary!$C$4)</f>
        <v/>
      </c>
      <c r="X216" s="16">
        <f>IF(OR(U216="",Y216="Removed",Y216="Deindexed only",Y216="No action needed"),"",TODAY()-U216)</f>
        <v/>
      </c>
      <c r="Y216" s="18" t="n"/>
      <c r="Z216" s="17" t="n"/>
      <c r="AA216" s="18" t="n"/>
      <c r="AB216" s="19" t="n"/>
    </row>
    <row r="217">
      <c r="A217" s="16">
        <f>IF(C217="","",ROW()-1)</f>
        <v/>
      </c>
      <c r="B217" s="17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9" t="n"/>
      <c r="L217" s="19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7" t="n"/>
      <c r="V217" s="18" t="n"/>
      <c r="W217" s="20">
        <f>IF(U217="","",U217+Summary!$C$4)</f>
        <v/>
      </c>
      <c r="X217" s="16">
        <f>IF(OR(U217="",Y217="Removed",Y217="Deindexed only",Y217="No action needed"),"",TODAY()-U217)</f>
        <v/>
      </c>
      <c r="Y217" s="18" t="n"/>
      <c r="Z217" s="17" t="n"/>
      <c r="AA217" s="18" t="n"/>
      <c r="AB217" s="19" t="n"/>
    </row>
    <row r="218">
      <c r="A218" s="16">
        <f>IF(C218="","",ROW()-1)</f>
        <v/>
      </c>
      <c r="B218" s="17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9" t="n"/>
      <c r="L218" s="19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7" t="n"/>
      <c r="V218" s="18" t="n"/>
      <c r="W218" s="20">
        <f>IF(U218="","",U218+Summary!$C$4)</f>
        <v/>
      </c>
      <c r="X218" s="16">
        <f>IF(OR(U218="",Y218="Removed",Y218="Deindexed only",Y218="No action needed"),"",TODAY()-U218)</f>
        <v/>
      </c>
      <c r="Y218" s="18" t="n"/>
      <c r="Z218" s="17" t="n"/>
      <c r="AA218" s="18" t="n"/>
      <c r="AB218" s="19" t="n"/>
    </row>
    <row r="219">
      <c r="A219" s="16">
        <f>IF(C219="","",ROW()-1)</f>
        <v/>
      </c>
      <c r="B219" s="17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9" t="n"/>
      <c r="L219" s="19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7" t="n"/>
      <c r="V219" s="18" t="n"/>
      <c r="W219" s="20">
        <f>IF(U219="","",U219+Summary!$C$4)</f>
        <v/>
      </c>
      <c r="X219" s="16">
        <f>IF(OR(U219="",Y219="Removed",Y219="Deindexed only",Y219="No action needed"),"",TODAY()-U219)</f>
        <v/>
      </c>
      <c r="Y219" s="18" t="n"/>
      <c r="Z219" s="17" t="n"/>
      <c r="AA219" s="18" t="n"/>
      <c r="AB219" s="19" t="n"/>
    </row>
    <row r="220">
      <c r="A220" s="16">
        <f>IF(C220="","",ROW()-1)</f>
        <v/>
      </c>
      <c r="B220" s="17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9" t="n"/>
      <c r="L220" s="19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7" t="n"/>
      <c r="V220" s="18" t="n"/>
      <c r="W220" s="20">
        <f>IF(U220="","",U220+Summary!$C$4)</f>
        <v/>
      </c>
      <c r="X220" s="16">
        <f>IF(OR(U220="",Y220="Removed",Y220="Deindexed only",Y220="No action needed"),"",TODAY()-U220)</f>
        <v/>
      </c>
      <c r="Y220" s="18" t="n"/>
      <c r="Z220" s="17" t="n"/>
      <c r="AA220" s="18" t="n"/>
      <c r="AB220" s="19" t="n"/>
    </row>
    <row r="221">
      <c r="A221" s="16">
        <f>IF(C221="","",ROW()-1)</f>
        <v/>
      </c>
      <c r="B221" s="17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9" t="n"/>
      <c r="L221" s="19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7" t="n"/>
      <c r="V221" s="18" t="n"/>
      <c r="W221" s="20">
        <f>IF(U221="","",U221+Summary!$C$4)</f>
        <v/>
      </c>
      <c r="X221" s="16">
        <f>IF(OR(U221="",Y221="Removed",Y221="Deindexed only",Y221="No action needed"),"",TODAY()-U221)</f>
        <v/>
      </c>
      <c r="Y221" s="18" t="n"/>
      <c r="Z221" s="17" t="n"/>
      <c r="AA221" s="18" t="n"/>
      <c r="AB221" s="19" t="n"/>
    </row>
    <row r="222">
      <c r="A222" s="16">
        <f>IF(C222="","",ROW()-1)</f>
        <v/>
      </c>
      <c r="B222" s="17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9" t="n"/>
      <c r="L222" s="19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7" t="n"/>
      <c r="V222" s="18" t="n"/>
      <c r="W222" s="20">
        <f>IF(U222="","",U222+Summary!$C$4)</f>
        <v/>
      </c>
      <c r="X222" s="16">
        <f>IF(OR(U222="",Y222="Removed",Y222="Deindexed only",Y222="No action needed"),"",TODAY()-U222)</f>
        <v/>
      </c>
      <c r="Y222" s="18" t="n"/>
      <c r="Z222" s="17" t="n"/>
      <c r="AA222" s="18" t="n"/>
      <c r="AB222" s="19" t="n"/>
    </row>
    <row r="223">
      <c r="A223" s="16">
        <f>IF(C223="","",ROW()-1)</f>
        <v/>
      </c>
      <c r="B223" s="17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9" t="n"/>
      <c r="L223" s="19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7" t="n"/>
      <c r="V223" s="18" t="n"/>
      <c r="W223" s="20">
        <f>IF(U223="","",U223+Summary!$C$4)</f>
        <v/>
      </c>
      <c r="X223" s="16">
        <f>IF(OR(U223="",Y223="Removed",Y223="Deindexed only",Y223="No action needed"),"",TODAY()-U223)</f>
        <v/>
      </c>
      <c r="Y223" s="18" t="n"/>
      <c r="Z223" s="17" t="n"/>
      <c r="AA223" s="18" t="n"/>
      <c r="AB223" s="19" t="n"/>
    </row>
    <row r="224">
      <c r="A224" s="16">
        <f>IF(C224="","",ROW()-1)</f>
        <v/>
      </c>
      <c r="B224" s="17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9" t="n"/>
      <c r="L224" s="19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7" t="n"/>
      <c r="V224" s="18" t="n"/>
      <c r="W224" s="20">
        <f>IF(U224="","",U224+Summary!$C$4)</f>
        <v/>
      </c>
      <c r="X224" s="16">
        <f>IF(OR(U224="",Y224="Removed",Y224="Deindexed only",Y224="No action needed"),"",TODAY()-U224)</f>
        <v/>
      </c>
      <c r="Y224" s="18" t="n"/>
      <c r="Z224" s="17" t="n"/>
      <c r="AA224" s="18" t="n"/>
      <c r="AB224" s="19" t="n"/>
    </row>
    <row r="225">
      <c r="A225" s="16">
        <f>IF(C225="","",ROW()-1)</f>
        <v/>
      </c>
      <c r="B225" s="17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9" t="n"/>
      <c r="L225" s="19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7" t="n"/>
      <c r="V225" s="18" t="n"/>
      <c r="W225" s="20">
        <f>IF(U225="","",U225+Summary!$C$4)</f>
        <v/>
      </c>
      <c r="X225" s="16">
        <f>IF(OR(U225="",Y225="Removed",Y225="Deindexed only",Y225="No action needed"),"",TODAY()-U225)</f>
        <v/>
      </c>
      <c r="Y225" s="18" t="n"/>
      <c r="Z225" s="17" t="n"/>
      <c r="AA225" s="18" t="n"/>
      <c r="AB225" s="19" t="n"/>
    </row>
    <row r="226">
      <c r="A226" s="16">
        <f>IF(C226="","",ROW()-1)</f>
        <v/>
      </c>
      <c r="B226" s="17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9" t="n"/>
      <c r="L226" s="19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7" t="n"/>
      <c r="V226" s="18" t="n"/>
      <c r="W226" s="20">
        <f>IF(U226="","",U226+Summary!$C$4)</f>
        <v/>
      </c>
      <c r="X226" s="16">
        <f>IF(OR(U226="",Y226="Removed",Y226="Deindexed only",Y226="No action needed"),"",TODAY()-U226)</f>
        <v/>
      </c>
      <c r="Y226" s="18" t="n"/>
      <c r="Z226" s="17" t="n"/>
      <c r="AA226" s="18" t="n"/>
      <c r="AB226" s="19" t="n"/>
    </row>
    <row r="227">
      <c r="A227" s="16">
        <f>IF(C227="","",ROW()-1)</f>
        <v/>
      </c>
      <c r="B227" s="17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9" t="n"/>
      <c r="L227" s="19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7" t="n"/>
      <c r="V227" s="18" t="n"/>
      <c r="W227" s="20">
        <f>IF(U227="","",U227+Summary!$C$4)</f>
        <v/>
      </c>
      <c r="X227" s="16">
        <f>IF(OR(U227="",Y227="Removed",Y227="Deindexed only",Y227="No action needed"),"",TODAY()-U227)</f>
        <v/>
      </c>
      <c r="Y227" s="18" t="n"/>
      <c r="Z227" s="17" t="n"/>
      <c r="AA227" s="18" t="n"/>
      <c r="AB227" s="19" t="n"/>
    </row>
    <row r="228">
      <c r="A228" s="16">
        <f>IF(C228="","",ROW()-1)</f>
        <v/>
      </c>
      <c r="B228" s="17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9" t="n"/>
      <c r="L228" s="19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7" t="n"/>
      <c r="V228" s="18" t="n"/>
      <c r="W228" s="20">
        <f>IF(U228="","",U228+Summary!$C$4)</f>
        <v/>
      </c>
      <c r="X228" s="16">
        <f>IF(OR(U228="",Y228="Removed",Y228="Deindexed only",Y228="No action needed"),"",TODAY()-U228)</f>
        <v/>
      </c>
      <c r="Y228" s="18" t="n"/>
      <c r="Z228" s="17" t="n"/>
      <c r="AA228" s="18" t="n"/>
      <c r="AB228" s="19" t="n"/>
    </row>
    <row r="229">
      <c r="A229" s="16">
        <f>IF(C229="","",ROW()-1)</f>
        <v/>
      </c>
      <c r="B229" s="17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9" t="n"/>
      <c r="L229" s="19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7" t="n"/>
      <c r="V229" s="18" t="n"/>
      <c r="W229" s="20">
        <f>IF(U229="","",U229+Summary!$C$4)</f>
        <v/>
      </c>
      <c r="X229" s="16">
        <f>IF(OR(U229="",Y229="Removed",Y229="Deindexed only",Y229="No action needed"),"",TODAY()-U229)</f>
        <v/>
      </c>
      <c r="Y229" s="18" t="n"/>
      <c r="Z229" s="17" t="n"/>
      <c r="AA229" s="18" t="n"/>
      <c r="AB229" s="19" t="n"/>
    </row>
    <row r="230">
      <c r="A230" s="16">
        <f>IF(C230="","",ROW()-1)</f>
        <v/>
      </c>
      <c r="B230" s="17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9" t="n"/>
      <c r="L230" s="19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7" t="n"/>
      <c r="V230" s="18" t="n"/>
      <c r="W230" s="20">
        <f>IF(U230="","",U230+Summary!$C$4)</f>
        <v/>
      </c>
      <c r="X230" s="16">
        <f>IF(OR(U230="",Y230="Removed",Y230="Deindexed only",Y230="No action needed"),"",TODAY()-U230)</f>
        <v/>
      </c>
      <c r="Y230" s="18" t="n"/>
      <c r="Z230" s="17" t="n"/>
      <c r="AA230" s="18" t="n"/>
      <c r="AB230" s="19" t="n"/>
    </row>
    <row r="231">
      <c r="A231" s="16">
        <f>IF(C231="","",ROW()-1)</f>
        <v/>
      </c>
      <c r="B231" s="17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9" t="n"/>
      <c r="L231" s="19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7" t="n"/>
      <c r="V231" s="18" t="n"/>
      <c r="W231" s="20">
        <f>IF(U231="","",U231+Summary!$C$4)</f>
        <v/>
      </c>
      <c r="X231" s="16">
        <f>IF(OR(U231="",Y231="Removed",Y231="Deindexed only",Y231="No action needed"),"",TODAY()-U231)</f>
        <v/>
      </c>
      <c r="Y231" s="18" t="n"/>
      <c r="Z231" s="17" t="n"/>
      <c r="AA231" s="18" t="n"/>
      <c r="AB231" s="19" t="n"/>
    </row>
    <row r="232">
      <c r="A232" s="16">
        <f>IF(C232="","",ROW()-1)</f>
        <v/>
      </c>
      <c r="B232" s="17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9" t="n"/>
      <c r="L232" s="19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7" t="n"/>
      <c r="V232" s="18" t="n"/>
      <c r="W232" s="20">
        <f>IF(U232="","",U232+Summary!$C$4)</f>
        <v/>
      </c>
      <c r="X232" s="16">
        <f>IF(OR(U232="",Y232="Removed",Y232="Deindexed only",Y232="No action needed"),"",TODAY()-U232)</f>
        <v/>
      </c>
      <c r="Y232" s="18" t="n"/>
      <c r="Z232" s="17" t="n"/>
      <c r="AA232" s="18" t="n"/>
      <c r="AB232" s="19" t="n"/>
    </row>
    <row r="233">
      <c r="A233" s="16">
        <f>IF(C233="","",ROW()-1)</f>
        <v/>
      </c>
      <c r="B233" s="17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9" t="n"/>
      <c r="L233" s="19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7" t="n"/>
      <c r="V233" s="18" t="n"/>
      <c r="W233" s="20">
        <f>IF(U233="","",U233+Summary!$C$4)</f>
        <v/>
      </c>
      <c r="X233" s="16">
        <f>IF(OR(U233="",Y233="Removed",Y233="Deindexed only",Y233="No action needed"),"",TODAY()-U233)</f>
        <v/>
      </c>
      <c r="Y233" s="18" t="n"/>
      <c r="Z233" s="17" t="n"/>
      <c r="AA233" s="18" t="n"/>
      <c r="AB233" s="19" t="n"/>
    </row>
    <row r="234">
      <c r="A234" s="16">
        <f>IF(C234="","",ROW()-1)</f>
        <v/>
      </c>
      <c r="B234" s="17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9" t="n"/>
      <c r="L234" s="19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7" t="n"/>
      <c r="V234" s="18" t="n"/>
      <c r="W234" s="20">
        <f>IF(U234="","",U234+Summary!$C$4)</f>
        <v/>
      </c>
      <c r="X234" s="16">
        <f>IF(OR(U234="",Y234="Removed",Y234="Deindexed only",Y234="No action needed"),"",TODAY()-U234)</f>
        <v/>
      </c>
      <c r="Y234" s="18" t="n"/>
      <c r="Z234" s="17" t="n"/>
      <c r="AA234" s="18" t="n"/>
      <c r="AB234" s="19" t="n"/>
    </row>
    <row r="235">
      <c r="A235" s="16">
        <f>IF(C235="","",ROW()-1)</f>
        <v/>
      </c>
      <c r="B235" s="17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9" t="n"/>
      <c r="L235" s="19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7" t="n"/>
      <c r="V235" s="18" t="n"/>
      <c r="W235" s="20">
        <f>IF(U235="","",U235+Summary!$C$4)</f>
        <v/>
      </c>
      <c r="X235" s="16">
        <f>IF(OR(U235="",Y235="Removed",Y235="Deindexed only",Y235="No action needed"),"",TODAY()-U235)</f>
        <v/>
      </c>
      <c r="Y235" s="18" t="n"/>
      <c r="Z235" s="17" t="n"/>
      <c r="AA235" s="18" t="n"/>
      <c r="AB235" s="19" t="n"/>
    </row>
    <row r="236">
      <c r="A236" s="16">
        <f>IF(C236="","",ROW()-1)</f>
        <v/>
      </c>
      <c r="B236" s="17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9" t="n"/>
      <c r="L236" s="19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7" t="n"/>
      <c r="V236" s="18" t="n"/>
      <c r="W236" s="20">
        <f>IF(U236="","",U236+Summary!$C$4)</f>
        <v/>
      </c>
      <c r="X236" s="16">
        <f>IF(OR(U236="",Y236="Removed",Y236="Deindexed only",Y236="No action needed"),"",TODAY()-U236)</f>
        <v/>
      </c>
      <c r="Y236" s="18" t="n"/>
      <c r="Z236" s="17" t="n"/>
      <c r="AA236" s="18" t="n"/>
      <c r="AB236" s="19" t="n"/>
    </row>
    <row r="237">
      <c r="A237" s="16">
        <f>IF(C237="","",ROW()-1)</f>
        <v/>
      </c>
      <c r="B237" s="17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9" t="n"/>
      <c r="L237" s="19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7" t="n"/>
      <c r="V237" s="18" t="n"/>
      <c r="W237" s="20">
        <f>IF(U237="","",U237+Summary!$C$4)</f>
        <v/>
      </c>
      <c r="X237" s="16">
        <f>IF(OR(U237="",Y237="Removed",Y237="Deindexed only",Y237="No action needed"),"",TODAY()-U237)</f>
        <v/>
      </c>
      <c r="Y237" s="18" t="n"/>
      <c r="Z237" s="17" t="n"/>
      <c r="AA237" s="18" t="n"/>
      <c r="AB237" s="19" t="n"/>
    </row>
    <row r="238">
      <c r="A238" s="16">
        <f>IF(C238="","",ROW()-1)</f>
        <v/>
      </c>
      <c r="B238" s="17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9" t="n"/>
      <c r="L238" s="19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7" t="n"/>
      <c r="V238" s="18" t="n"/>
      <c r="W238" s="20">
        <f>IF(U238="","",U238+Summary!$C$4)</f>
        <v/>
      </c>
      <c r="X238" s="16">
        <f>IF(OR(U238="",Y238="Removed",Y238="Deindexed only",Y238="No action needed"),"",TODAY()-U238)</f>
        <v/>
      </c>
      <c r="Y238" s="18" t="n"/>
      <c r="Z238" s="17" t="n"/>
      <c r="AA238" s="18" t="n"/>
      <c r="AB238" s="19" t="n"/>
    </row>
    <row r="239">
      <c r="A239" s="16">
        <f>IF(C239="","",ROW()-1)</f>
        <v/>
      </c>
      <c r="B239" s="17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9" t="n"/>
      <c r="L239" s="19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7" t="n"/>
      <c r="V239" s="18" t="n"/>
      <c r="W239" s="20">
        <f>IF(U239="","",U239+Summary!$C$4)</f>
        <v/>
      </c>
      <c r="X239" s="16">
        <f>IF(OR(U239="",Y239="Removed",Y239="Deindexed only",Y239="No action needed"),"",TODAY()-U239)</f>
        <v/>
      </c>
      <c r="Y239" s="18" t="n"/>
      <c r="Z239" s="17" t="n"/>
      <c r="AA239" s="18" t="n"/>
      <c r="AB239" s="19" t="n"/>
    </row>
    <row r="240">
      <c r="A240" s="16">
        <f>IF(C240="","",ROW()-1)</f>
        <v/>
      </c>
      <c r="B240" s="17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9" t="n"/>
      <c r="L240" s="19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7" t="n"/>
      <c r="V240" s="18" t="n"/>
      <c r="W240" s="20">
        <f>IF(U240="","",U240+Summary!$C$4)</f>
        <v/>
      </c>
      <c r="X240" s="16">
        <f>IF(OR(U240="",Y240="Removed",Y240="Deindexed only",Y240="No action needed"),"",TODAY()-U240)</f>
        <v/>
      </c>
      <c r="Y240" s="18" t="n"/>
      <c r="Z240" s="17" t="n"/>
      <c r="AA240" s="18" t="n"/>
      <c r="AB240" s="19" t="n"/>
    </row>
    <row r="241">
      <c r="A241" s="16">
        <f>IF(C241="","",ROW()-1)</f>
        <v/>
      </c>
      <c r="B241" s="17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9" t="n"/>
      <c r="L241" s="19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7" t="n"/>
      <c r="V241" s="18" t="n"/>
      <c r="W241" s="20">
        <f>IF(U241="","",U241+Summary!$C$4)</f>
        <v/>
      </c>
      <c r="X241" s="16">
        <f>IF(OR(U241="",Y241="Removed",Y241="Deindexed only",Y241="No action needed"),"",TODAY()-U241)</f>
        <v/>
      </c>
      <c r="Y241" s="18" t="n"/>
      <c r="Z241" s="17" t="n"/>
      <c r="AA241" s="18" t="n"/>
      <c r="AB241" s="19" t="n"/>
    </row>
    <row r="242">
      <c r="A242" s="16">
        <f>IF(C242="","",ROW()-1)</f>
        <v/>
      </c>
      <c r="B242" s="17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9" t="n"/>
      <c r="L242" s="19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7" t="n"/>
      <c r="V242" s="18" t="n"/>
      <c r="W242" s="20">
        <f>IF(U242="","",U242+Summary!$C$4)</f>
        <v/>
      </c>
      <c r="X242" s="16">
        <f>IF(OR(U242="",Y242="Removed",Y242="Deindexed only",Y242="No action needed"),"",TODAY()-U242)</f>
        <v/>
      </c>
      <c r="Y242" s="18" t="n"/>
      <c r="Z242" s="17" t="n"/>
      <c r="AA242" s="18" t="n"/>
      <c r="AB242" s="19" t="n"/>
    </row>
    <row r="243">
      <c r="A243" s="16">
        <f>IF(C243="","",ROW()-1)</f>
        <v/>
      </c>
      <c r="B243" s="17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9" t="n"/>
      <c r="L243" s="19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7" t="n"/>
      <c r="V243" s="18" t="n"/>
      <c r="W243" s="20">
        <f>IF(U243="","",U243+Summary!$C$4)</f>
        <v/>
      </c>
      <c r="X243" s="16">
        <f>IF(OR(U243="",Y243="Removed",Y243="Deindexed only",Y243="No action needed"),"",TODAY()-U243)</f>
        <v/>
      </c>
      <c r="Y243" s="18" t="n"/>
      <c r="Z243" s="17" t="n"/>
      <c r="AA243" s="18" t="n"/>
      <c r="AB243" s="19" t="n"/>
    </row>
    <row r="244">
      <c r="A244" s="16">
        <f>IF(C244="","",ROW()-1)</f>
        <v/>
      </c>
      <c r="B244" s="17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9" t="n"/>
      <c r="L244" s="19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7" t="n"/>
      <c r="V244" s="18" t="n"/>
      <c r="W244" s="20">
        <f>IF(U244="","",U244+Summary!$C$4)</f>
        <v/>
      </c>
      <c r="X244" s="16">
        <f>IF(OR(U244="",Y244="Removed",Y244="Deindexed only",Y244="No action needed"),"",TODAY()-U244)</f>
        <v/>
      </c>
      <c r="Y244" s="18" t="n"/>
      <c r="Z244" s="17" t="n"/>
      <c r="AA244" s="18" t="n"/>
      <c r="AB244" s="19" t="n"/>
    </row>
    <row r="245">
      <c r="A245" s="16">
        <f>IF(C245="","",ROW()-1)</f>
        <v/>
      </c>
      <c r="B245" s="17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9" t="n"/>
      <c r="L245" s="19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7" t="n"/>
      <c r="V245" s="18" t="n"/>
      <c r="W245" s="20">
        <f>IF(U245="","",U245+Summary!$C$4)</f>
        <v/>
      </c>
      <c r="X245" s="16">
        <f>IF(OR(U245="",Y245="Removed",Y245="Deindexed only",Y245="No action needed"),"",TODAY()-U245)</f>
        <v/>
      </c>
      <c r="Y245" s="18" t="n"/>
      <c r="Z245" s="17" t="n"/>
      <c r="AA245" s="18" t="n"/>
      <c r="AB245" s="19" t="n"/>
    </row>
    <row r="246">
      <c r="A246" s="16">
        <f>IF(C246="","",ROW()-1)</f>
        <v/>
      </c>
      <c r="B246" s="17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9" t="n"/>
      <c r="L246" s="19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7" t="n"/>
      <c r="V246" s="18" t="n"/>
      <c r="W246" s="20">
        <f>IF(U246="","",U246+Summary!$C$4)</f>
        <v/>
      </c>
      <c r="X246" s="16">
        <f>IF(OR(U246="",Y246="Removed",Y246="Deindexed only",Y246="No action needed"),"",TODAY()-U246)</f>
        <v/>
      </c>
      <c r="Y246" s="18" t="n"/>
      <c r="Z246" s="17" t="n"/>
      <c r="AA246" s="18" t="n"/>
      <c r="AB246" s="19" t="n"/>
    </row>
    <row r="247">
      <c r="A247" s="16">
        <f>IF(C247="","",ROW()-1)</f>
        <v/>
      </c>
      <c r="B247" s="17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9" t="n"/>
      <c r="L247" s="19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7" t="n"/>
      <c r="V247" s="18" t="n"/>
      <c r="W247" s="20">
        <f>IF(U247="","",U247+Summary!$C$4)</f>
        <v/>
      </c>
      <c r="X247" s="16">
        <f>IF(OR(U247="",Y247="Removed",Y247="Deindexed only",Y247="No action needed"),"",TODAY()-U247)</f>
        <v/>
      </c>
      <c r="Y247" s="18" t="n"/>
      <c r="Z247" s="17" t="n"/>
      <c r="AA247" s="18" t="n"/>
      <c r="AB247" s="19" t="n"/>
    </row>
    <row r="248">
      <c r="A248" s="16">
        <f>IF(C248="","",ROW()-1)</f>
        <v/>
      </c>
      <c r="B248" s="17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9" t="n"/>
      <c r="L248" s="19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7" t="n"/>
      <c r="V248" s="18" t="n"/>
      <c r="W248" s="20">
        <f>IF(U248="","",U248+Summary!$C$4)</f>
        <v/>
      </c>
      <c r="X248" s="16">
        <f>IF(OR(U248="",Y248="Removed",Y248="Deindexed only",Y248="No action needed"),"",TODAY()-U248)</f>
        <v/>
      </c>
      <c r="Y248" s="18" t="n"/>
      <c r="Z248" s="17" t="n"/>
      <c r="AA248" s="18" t="n"/>
      <c r="AB248" s="19" t="n"/>
    </row>
    <row r="249">
      <c r="A249" s="16">
        <f>IF(C249="","",ROW()-1)</f>
        <v/>
      </c>
      <c r="B249" s="17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9" t="n"/>
      <c r="L249" s="19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7" t="n"/>
      <c r="V249" s="18" t="n"/>
      <c r="W249" s="20">
        <f>IF(U249="","",U249+Summary!$C$4)</f>
        <v/>
      </c>
      <c r="X249" s="16">
        <f>IF(OR(U249="",Y249="Removed",Y249="Deindexed only",Y249="No action needed"),"",TODAY()-U249)</f>
        <v/>
      </c>
      <c r="Y249" s="18" t="n"/>
      <c r="Z249" s="17" t="n"/>
      <c r="AA249" s="18" t="n"/>
      <c r="AB249" s="19" t="n"/>
    </row>
    <row r="250">
      <c r="A250" s="16">
        <f>IF(C250="","",ROW()-1)</f>
        <v/>
      </c>
      <c r="B250" s="17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9" t="n"/>
      <c r="L250" s="19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7" t="n"/>
      <c r="V250" s="18" t="n"/>
      <c r="W250" s="20">
        <f>IF(U250="","",U250+Summary!$C$4)</f>
        <v/>
      </c>
      <c r="X250" s="16">
        <f>IF(OR(U250="",Y250="Removed",Y250="Deindexed only",Y250="No action needed"),"",TODAY()-U250)</f>
        <v/>
      </c>
      <c r="Y250" s="18" t="n"/>
      <c r="Z250" s="17" t="n"/>
      <c r="AA250" s="18" t="n"/>
      <c r="AB250" s="19" t="n"/>
    </row>
    <row r="251">
      <c r="A251" s="16">
        <f>IF(C251="","",ROW()-1)</f>
        <v/>
      </c>
      <c r="B251" s="17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9" t="n"/>
      <c r="L251" s="19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7" t="n"/>
      <c r="V251" s="18" t="n"/>
      <c r="W251" s="20">
        <f>IF(U251="","",U251+Summary!$C$4)</f>
        <v/>
      </c>
      <c r="X251" s="16">
        <f>IF(OR(U251="",Y251="Removed",Y251="Deindexed only",Y251="No action needed"),"",TODAY()-U251)</f>
        <v/>
      </c>
      <c r="Y251" s="18" t="n"/>
      <c r="Z251" s="17" t="n"/>
      <c r="AA251" s="18" t="n"/>
      <c r="AB251" s="19" t="n"/>
    </row>
    <row r="252">
      <c r="A252" s="16">
        <f>IF(C252="","",ROW()-1)</f>
        <v/>
      </c>
      <c r="B252" s="17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9" t="n"/>
      <c r="L252" s="19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7" t="n"/>
      <c r="V252" s="18" t="n"/>
      <c r="W252" s="20">
        <f>IF(U252="","",U252+Summary!$C$4)</f>
        <v/>
      </c>
      <c r="X252" s="16">
        <f>IF(OR(U252="",Y252="Removed",Y252="Deindexed only",Y252="No action needed"),"",TODAY()-U252)</f>
        <v/>
      </c>
      <c r="Y252" s="18" t="n"/>
      <c r="Z252" s="17" t="n"/>
      <c r="AA252" s="18" t="n"/>
      <c r="AB252" s="19" t="n"/>
    </row>
    <row r="253">
      <c r="A253" s="16">
        <f>IF(C253="","",ROW()-1)</f>
        <v/>
      </c>
      <c r="B253" s="17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9" t="n"/>
      <c r="L253" s="19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7" t="n"/>
      <c r="V253" s="18" t="n"/>
      <c r="W253" s="20">
        <f>IF(U253="","",U253+Summary!$C$4)</f>
        <v/>
      </c>
      <c r="X253" s="16">
        <f>IF(OR(U253="",Y253="Removed",Y253="Deindexed only",Y253="No action needed"),"",TODAY()-U253)</f>
        <v/>
      </c>
      <c r="Y253" s="18" t="n"/>
      <c r="Z253" s="17" t="n"/>
      <c r="AA253" s="18" t="n"/>
      <c r="AB253" s="19" t="n"/>
    </row>
    <row r="254">
      <c r="A254" s="16">
        <f>IF(C254="","",ROW()-1)</f>
        <v/>
      </c>
      <c r="B254" s="17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9" t="n"/>
      <c r="L254" s="19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7" t="n"/>
      <c r="V254" s="18" t="n"/>
      <c r="W254" s="20">
        <f>IF(U254="","",U254+Summary!$C$4)</f>
        <v/>
      </c>
      <c r="X254" s="16">
        <f>IF(OR(U254="",Y254="Removed",Y254="Deindexed only",Y254="No action needed"),"",TODAY()-U254)</f>
        <v/>
      </c>
      <c r="Y254" s="18" t="n"/>
      <c r="Z254" s="17" t="n"/>
      <c r="AA254" s="18" t="n"/>
      <c r="AB254" s="19" t="n"/>
    </row>
    <row r="255">
      <c r="A255" s="16">
        <f>IF(C255="","",ROW()-1)</f>
        <v/>
      </c>
      <c r="B255" s="17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9" t="n"/>
      <c r="L255" s="19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7" t="n"/>
      <c r="V255" s="18" t="n"/>
      <c r="W255" s="20">
        <f>IF(U255="","",U255+Summary!$C$4)</f>
        <v/>
      </c>
      <c r="X255" s="16">
        <f>IF(OR(U255="",Y255="Removed",Y255="Deindexed only",Y255="No action needed"),"",TODAY()-U255)</f>
        <v/>
      </c>
      <c r="Y255" s="18" t="n"/>
      <c r="Z255" s="17" t="n"/>
      <c r="AA255" s="18" t="n"/>
      <c r="AB255" s="19" t="n"/>
    </row>
    <row r="256">
      <c r="A256" s="16">
        <f>IF(C256="","",ROW()-1)</f>
        <v/>
      </c>
      <c r="B256" s="17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9" t="n"/>
      <c r="L256" s="19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7" t="n"/>
      <c r="V256" s="18" t="n"/>
      <c r="W256" s="20">
        <f>IF(U256="","",U256+Summary!$C$4)</f>
        <v/>
      </c>
      <c r="X256" s="16">
        <f>IF(OR(U256="",Y256="Removed",Y256="Deindexed only",Y256="No action needed"),"",TODAY()-U256)</f>
        <v/>
      </c>
      <c r="Y256" s="18" t="n"/>
      <c r="Z256" s="17" t="n"/>
      <c r="AA256" s="18" t="n"/>
      <c r="AB256" s="19" t="n"/>
    </row>
    <row r="257">
      <c r="A257" s="16">
        <f>IF(C257="","",ROW()-1)</f>
        <v/>
      </c>
      <c r="B257" s="17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9" t="n"/>
      <c r="L257" s="19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7" t="n"/>
      <c r="V257" s="18" t="n"/>
      <c r="W257" s="20">
        <f>IF(U257="","",U257+Summary!$C$4)</f>
        <v/>
      </c>
      <c r="X257" s="16">
        <f>IF(OR(U257="",Y257="Removed",Y257="Deindexed only",Y257="No action needed"),"",TODAY()-U257)</f>
        <v/>
      </c>
      <c r="Y257" s="18" t="n"/>
      <c r="Z257" s="17" t="n"/>
      <c r="AA257" s="18" t="n"/>
      <c r="AB257" s="19" t="n"/>
    </row>
    <row r="258">
      <c r="A258" s="16">
        <f>IF(C258="","",ROW()-1)</f>
        <v/>
      </c>
      <c r="B258" s="17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9" t="n"/>
      <c r="L258" s="19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7" t="n"/>
      <c r="V258" s="18" t="n"/>
      <c r="W258" s="20">
        <f>IF(U258="","",U258+Summary!$C$4)</f>
        <v/>
      </c>
      <c r="X258" s="16">
        <f>IF(OR(U258="",Y258="Removed",Y258="Deindexed only",Y258="No action needed"),"",TODAY()-U258)</f>
        <v/>
      </c>
      <c r="Y258" s="18" t="n"/>
      <c r="Z258" s="17" t="n"/>
      <c r="AA258" s="18" t="n"/>
      <c r="AB258" s="19" t="n"/>
    </row>
    <row r="259">
      <c r="A259" s="16">
        <f>IF(C259="","",ROW()-1)</f>
        <v/>
      </c>
      <c r="B259" s="17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9" t="n"/>
      <c r="L259" s="19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7" t="n"/>
      <c r="V259" s="18" t="n"/>
      <c r="W259" s="20">
        <f>IF(U259="","",U259+Summary!$C$4)</f>
        <v/>
      </c>
      <c r="X259" s="16">
        <f>IF(OR(U259="",Y259="Removed",Y259="Deindexed only",Y259="No action needed"),"",TODAY()-U259)</f>
        <v/>
      </c>
      <c r="Y259" s="18" t="n"/>
      <c r="Z259" s="17" t="n"/>
      <c r="AA259" s="18" t="n"/>
      <c r="AB259" s="19" t="n"/>
    </row>
    <row r="260">
      <c r="A260" s="16">
        <f>IF(C260="","",ROW()-1)</f>
        <v/>
      </c>
      <c r="B260" s="17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9" t="n"/>
      <c r="L260" s="19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7" t="n"/>
      <c r="V260" s="18" t="n"/>
      <c r="W260" s="20">
        <f>IF(U260="","",U260+Summary!$C$4)</f>
        <v/>
      </c>
      <c r="X260" s="16">
        <f>IF(OR(U260="",Y260="Removed",Y260="Deindexed only",Y260="No action needed"),"",TODAY()-U260)</f>
        <v/>
      </c>
      <c r="Y260" s="18" t="n"/>
      <c r="Z260" s="17" t="n"/>
      <c r="AA260" s="18" t="n"/>
      <c r="AB260" s="19" t="n"/>
    </row>
    <row r="261">
      <c r="A261" s="16">
        <f>IF(C261="","",ROW()-1)</f>
        <v/>
      </c>
      <c r="B261" s="17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9" t="n"/>
      <c r="L261" s="19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7" t="n"/>
      <c r="V261" s="18" t="n"/>
      <c r="W261" s="20">
        <f>IF(U261="","",U261+Summary!$C$4)</f>
        <v/>
      </c>
      <c r="X261" s="16">
        <f>IF(OR(U261="",Y261="Removed",Y261="Deindexed only",Y261="No action needed"),"",TODAY()-U261)</f>
        <v/>
      </c>
      <c r="Y261" s="18" t="n"/>
      <c r="Z261" s="17" t="n"/>
      <c r="AA261" s="18" t="n"/>
      <c r="AB261" s="19" t="n"/>
    </row>
    <row r="262">
      <c r="A262" s="16">
        <f>IF(C262="","",ROW()-1)</f>
        <v/>
      </c>
      <c r="B262" s="17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9" t="n"/>
      <c r="L262" s="19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7" t="n"/>
      <c r="V262" s="18" t="n"/>
      <c r="W262" s="20">
        <f>IF(U262="","",U262+Summary!$C$4)</f>
        <v/>
      </c>
      <c r="X262" s="16">
        <f>IF(OR(U262="",Y262="Removed",Y262="Deindexed only",Y262="No action needed"),"",TODAY()-U262)</f>
        <v/>
      </c>
      <c r="Y262" s="18" t="n"/>
      <c r="Z262" s="17" t="n"/>
      <c r="AA262" s="18" t="n"/>
      <c r="AB262" s="19" t="n"/>
    </row>
    <row r="263">
      <c r="A263" s="16">
        <f>IF(C263="","",ROW()-1)</f>
        <v/>
      </c>
      <c r="B263" s="17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9" t="n"/>
      <c r="L263" s="19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7" t="n"/>
      <c r="V263" s="18" t="n"/>
      <c r="W263" s="20">
        <f>IF(U263="","",U263+Summary!$C$4)</f>
        <v/>
      </c>
      <c r="X263" s="16">
        <f>IF(OR(U263="",Y263="Removed",Y263="Deindexed only",Y263="No action needed"),"",TODAY()-U263)</f>
        <v/>
      </c>
      <c r="Y263" s="18" t="n"/>
      <c r="Z263" s="17" t="n"/>
      <c r="AA263" s="18" t="n"/>
      <c r="AB263" s="19" t="n"/>
    </row>
    <row r="264">
      <c r="A264" s="16">
        <f>IF(C264="","",ROW()-1)</f>
        <v/>
      </c>
      <c r="B264" s="17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9" t="n"/>
      <c r="L264" s="19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7" t="n"/>
      <c r="V264" s="18" t="n"/>
      <c r="W264" s="20">
        <f>IF(U264="","",U264+Summary!$C$4)</f>
        <v/>
      </c>
      <c r="X264" s="16">
        <f>IF(OR(U264="",Y264="Removed",Y264="Deindexed only",Y264="No action needed"),"",TODAY()-U264)</f>
        <v/>
      </c>
      <c r="Y264" s="18" t="n"/>
      <c r="Z264" s="17" t="n"/>
      <c r="AA264" s="18" t="n"/>
      <c r="AB264" s="19" t="n"/>
    </row>
    <row r="265">
      <c r="A265" s="16">
        <f>IF(C265="","",ROW()-1)</f>
        <v/>
      </c>
      <c r="B265" s="17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9" t="n"/>
      <c r="L265" s="19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7" t="n"/>
      <c r="V265" s="18" t="n"/>
      <c r="W265" s="20">
        <f>IF(U265="","",U265+Summary!$C$4)</f>
        <v/>
      </c>
      <c r="X265" s="16">
        <f>IF(OR(U265="",Y265="Removed",Y265="Deindexed only",Y265="No action needed"),"",TODAY()-U265)</f>
        <v/>
      </c>
      <c r="Y265" s="18" t="n"/>
      <c r="Z265" s="17" t="n"/>
      <c r="AA265" s="18" t="n"/>
      <c r="AB265" s="19" t="n"/>
    </row>
    <row r="266">
      <c r="A266" s="16">
        <f>IF(C266="","",ROW()-1)</f>
        <v/>
      </c>
      <c r="B266" s="17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9" t="n"/>
      <c r="L266" s="19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7" t="n"/>
      <c r="V266" s="18" t="n"/>
      <c r="W266" s="20">
        <f>IF(U266="","",U266+Summary!$C$4)</f>
        <v/>
      </c>
      <c r="X266" s="16">
        <f>IF(OR(U266="",Y266="Removed",Y266="Deindexed only",Y266="No action needed"),"",TODAY()-U266)</f>
        <v/>
      </c>
      <c r="Y266" s="18" t="n"/>
      <c r="Z266" s="17" t="n"/>
      <c r="AA266" s="18" t="n"/>
      <c r="AB266" s="19" t="n"/>
    </row>
    <row r="267">
      <c r="A267" s="16">
        <f>IF(C267="","",ROW()-1)</f>
        <v/>
      </c>
      <c r="B267" s="17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9" t="n"/>
      <c r="L267" s="19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7" t="n"/>
      <c r="V267" s="18" t="n"/>
      <c r="W267" s="20">
        <f>IF(U267="","",U267+Summary!$C$4)</f>
        <v/>
      </c>
      <c r="X267" s="16">
        <f>IF(OR(U267="",Y267="Removed",Y267="Deindexed only",Y267="No action needed"),"",TODAY()-U267)</f>
        <v/>
      </c>
      <c r="Y267" s="18" t="n"/>
      <c r="Z267" s="17" t="n"/>
      <c r="AA267" s="18" t="n"/>
      <c r="AB267" s="19" t="n"/>
    </row>
    <row r="268">
      <c r="A268" s="16">
        <f>IF(C268="","",ROW()-1)</f>
        <v/>
      </c>
      <c r="B268" s="17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9" t="n"/>
      <c r="L268" s="19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7" t="n"/>
      <c r="V268" s="18" t="n"/>
      <c r="W268" s="20">
        <f>IF(U268="","",U268+Summary!$C$4)</f>
        <v/>
      </c>
      <c r="X268" s="16">
        <f>IF(OR(U268="",Y268="Removed",Y268="Deindexed only",Y268="No action needed"),"",TODAY()-U268)</f>
        <v/>
      </c>
      <c r="Y268" s="18" t="n"/>
      <c r="Z268" s="17" t="n"/>
      <c r="AA268" s="18" t="n"/>
      <c r="AB268" s="19" t="n"/>
    </row>
    <row r="269">
      <c r="A269" s="16">
        <f>IF(C269="","",ROW()-1)</f>
        <v/>
      </c>
      <c r="B269" s="17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9" t="n"/>
      <c r="L269" s="19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7" t="n"/>
      <c r="V269" s="18" t="n"/>
      <c r="W269" s="20">
        <f>IF(U269="","",U269+Summary!$C$4)</f>
        <v/>
      </c>
      <c r="X269" s="16">
        <f>IF(OR(U269="",Y269="Removed",Y269="Deindexed only",Y269="No action needed"),"",TODAY()-U269)</f>
        <v/>
      </c>
      <c r="Y269" s="18" t="n"/>
      <c r="Z269" s="17" t="n"/>
      <c r="AA269" s="18" t="n"/>
      <c r="AB269" s="19" t="n"/>
    </row>
    <row r="270">
      <c r="A270" s="16">
        <f>IF(C270="","",ROW()-1)</f>
        <v/>
      </c>
      <c r="B270" s="17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9" t="n"/>
      <c r="L270" s="19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7" t="n"/>
      <c r="V270" s="18" t="n"/>
      <c r="W270" s="20">
        <f>IF(U270="","",U270+Summary!$C$4)</f>
        <v/>
      </c>
      <c r="X270" s="16">
        <f>IF(OR(U270="",Y270="Removed",Y270="Deindexed only",Y270="No action needed"),"",TODAY()-U270)</f>
        <v/>
      </c>
      <c r="Y270" s="18" t="n"/>
      <c r="Z270" s="17" t="n"/>
      <c r="AA270" s="18" t="n"/>
      <c r="AB270" s="19" t="n"/>
    </row>
    <row r="271">
      <c r="A271" s="16">
        <f>IF(C271="","",ROW()-1)</f>
        <v/>
      </c>
      <c r="B271" s="17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9" t="n"/>
      <c r="L271" s="19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7" t="n"/>
      <c r="V271" s="18" t="n"/>
      <c r="W271" s="20">
        <f>IF(U271="","",U271+Summary!$C$4)</f>
        <v/>
      </c>
      <c r="X271" s="16">
        <f>IF(OR(U271="",Y271="Removed",Y271="Deindexed only",Y271="No action needed"),"",TODAY()-U271)</f>
        <v/>
      </c>
      <c r="Y271" s="18" t="n"/>
      <c r="Z271" s="17" t="n"/>
      <c r="AA271" s="18" t="n"/>
      <c r="AB271" s="19" t="n"/>
    </row>
    <row r="272">
      <c r="A272" s="16">
        <f>IF(C272="","",ROW()-1)</f>
        <v/>
      </c>
      <c r="B272" s="17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9" t="n"/>
      <c r="L272" s="19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7" t="n"/>
      <c r="V272" s="18" t="n"/>
      <c r="W272" s="20">
        <f>IF(U272="","",U272+Summary!$C$4)</f>
        <v/>
      </c>
      <c r="X272" s="16">
        <f>IF(OR(U272="",Y272="Removed",Y272="Deindexed only",Y272="No action needed"),"",TODAY()-U272)</f>
        <v/>
      </c>
      <c r="Y272" s="18" t="n"/>
      <c r="Z272" s="17" t="n"/>
      <c r="AA272" s="18" t="n"/>
      <c r="AB272" s="19" t="n"/>
    </row>
    <row r="273">
      <c r="A273" s="16">
        <f>IF(C273="","",ROW()-1)</f>
        <v/>
      </c>
      <c r="B273" s="17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9" t="n"/>
      <c r="L273" s="19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7" t="n"/>
      <c r="V273" s="18" t="n"/>
      <c r="W273" s="20">
        <f>IF(U273="","",U273+Summary!$C$4)</f>
        <v/>
      </c>
      <c r="X273" s="16">
        <f>IF(OR(U273="",Y273="Removed",Y273="Deindexed only",Y273="No action needed"),"",TODAY()-U273)</f>
        <v/>
      </c>
      <c r="Y273" s="18" t="n"/>
      <c r="Z273" s="17" t="n"/>
      <c r="AA273" s="18" t="n"/>
      <c r="AB273" s="19" t="n"/>
    </row>
    <row r="274">
      <c r="A274" s="16">
        <f>IF(C274="","",ROW()-1)</f>
        <v/>
      </c>
      <c r="B274" s="17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9" t="n"/>
      <c r="L274" s="19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7" t="n"/>
      <c r="V274" s="18" t="n"/>
      <c r="W274" s="20">
        <f>IF(U274="","",U274+Summary!$C$4)</f>
        <v/>
      </c>
      <c r="X274" s="16">
        <f>IF(OR(U274="",Y274="Removed",Y274="Deindexed only",Y274="No action needed"),"",TODAY()-U274)</f>
        <v/>
      </c>
      <c r="Y274" s="18" t="n"/>
      <c r="Z274" s="17" t="n"/>
      <c r="AA274" s="18" t="n"/>
      <c r="AB274" s="19" t="n"/>
    </row>
    <row r="275">
      <c r="A275" s="16">
        <f>IF(C275="","",ROW()-1)</f>
        <v/>
      </c>
      <c r="B275" s="17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9" t="n"/>
      <c r="L275" s="19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7" t="n"/>
      <c r="V275" s="18" t="n"/>
      <c r="W275" s="20">
        <f>IF(U275="","",U275+Summary!$C$4)</f>
        <v/>
      </c>
      <c r="X275" s="16">
        <f>IF(OR(U275="",Y275="Removed",Y275="Deindexed only",Y275="No action needed"),"",TODAY()-U275)</f>
        <v/>
      </c>
      <c r="Y275" s="18" t="n"/>
      <c r="Z275" s="17" t="n"/>
      <c r="AA275" s="18" t="n"/>
      <c r="AB275" s="19" t="n"/>
    </row>
    <row r="276">
      <c r="A276" s="16">
        <f>IF(C276="","",ROW()-1)</f>
        <v/>
      </c>
      <c r="B276" s="17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9" t="n"/>
      <c r="L276" s="19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7" t="n"/>
      <c r="V276" s="18" t="n"/>
      <c r="W276" s="20">
        <f>IF(U276="","",U276+Summary!$C$4)</f>
        <v/>
      </c>
      <c r="X276" s="16">
        <f>IF(OR(U276="",Y276="Removed",Y276="Deindexed only",Y276="No action needed"),"",TODAY()-U276)</f>
        <v/>
      </c>
      <c r="Y276" s="18" t="n"/>
      <c r="Z276" s="17" t="n"/>
      <c r="AA276" s="18" t="n"/>
      <c r="AB276" s="19" t="n"/>
    </row>
    <row r="277">
      <c r="A277" s="16">
        <f>IF(C277="","",ROW()-1)</f>
        <v/>
      </c>
      <c r="B277" s="17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9" t="n"/>
      <c r="L277" s="19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7" t="n"/>
      <c r="V277" s="18" t="n"/>
      <c r="W277" s="20">
        <f>IF(U277="","",U277+Summary!$C$4)</f>
        <v/>
      </c>
      <c r="X277" s="16">
        <f>IF(OR(U277="",Y277="Removed",Y277="Deindexed only",Y277="No action needed"),"",TODAY()-U277)</f>
        <v/>
      </c>
      <c r="Y277" s="18" t="n"/>
      <c r="Z277" s="17" t="n"/>
      <c r="AA277" s="18" t="n"/>
      <c r="AB277" s="19" t="n"/>
    </row>
    <row r="278">
      <c r="A278" s="16">
        <f>IF(C278="","",ROW()-1)</f>
        <v/>
      </c>
      <c r="B278" s="17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9" t="n"/>
      <c r="L278" s="19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7" t="n"/>
      <c r="V278" s="18" t="n"/>
      <c r="W278" s="20">
        <f>IF(U278="","",U278+Summary!$C$4)</f>
        <v/>
      </c>
      <c r="X278" s="16">
        <f>IF(OR(U278="",Y278="Removed",Y278="Deindexed only",Y278="No action needed"),"",TODAY()-U278)</f>
        <v/>
      </c>
      <c r="Y278" s="18" t="n"/>
      <c r="Z278" s="17" t="n"/>
      <c r="AA278" s="18" t="n"/>
      <c r="AB278" s="19" t="n"/>
    </row>
    <row r="279">
      <c r="A279" s="16">
        <f>IF(C279="","",ROW()-1)</f>
        <v/>
      </c>
      <c r="B279" s="17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9" t="n"/>
      <c r="L279" s="19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7" t="n"/>
      <c r="V279" s="18" t="n"/>
      <c r="W279" s="20">
        <f>IF(U279="","",U279+Summary!$C$4)</f>
        <v/>
      </c>
      <c r="X279" s="16">
        <f>IF(OR(U279="",Y279="Removed",Y279="Deindexed only",Y279="No action needed"),"",TODAY()-U279)</f>
        <v/>
      </c>
      <c r="Y279" s="18" t="n"/>
      <c r="Z279" s="17" t="n"/>
      <c r="AA279" s="18" t="n"/>
      <c r="AB279" s="19" t="n"/>
    </row>
    <row r="280">
      <c r="A280" s="16">
        <f>IF(C280="","",ROW()-1)</f>
        <v/>
      </c>
      <c r="B280" s="17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9" t="n"/>
      <c r="L280" s="19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7" t="n"/>
      <c r="V280" s="18" t="n"/>
      <c r="W280" s="20">
        <f>IF(U280="","",U280+Summary!$C$4)</f>
        <v/>
      </c>
      <c r="X280" s="16">
        <f>IF(OR(U280="",Y280="Removed",Y280="Deindexed only",Y280="No action needed"),"",TODAY()-U280)</f>
        <v/>
      </c>
      <c r="Y280" s="18" t="n"/>
      <c r="Z280" s="17" t="n"/>
      <c r="AA280" s="18" t="n"/>
      <c r="AB280" s="19" t="n"/>
    </row>
    <row r="281">
      <c r="A281" s="16">
        <f>IF(C281="","",ROW()-1)</f>
        <v/>
      </c>
      <c r="B281" s="17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9" t="n"/>
      <c r="L281" s="19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7" t="n"/>
      <c r="V281" s="18" t="n"/>
      <c r="W281" s="20">
        <f>IF(U281="","",U281+Summary!$C$4)</f>
        <v/>
      </c>
      <c r="X281" s="16">
        <f>IF(OR(U281="",Y281="Removed",Y281="Deindexed only",Y281="No action needed"),"",TODAY()-U281)</f>
        <v/>
      </c>
      <c r="Y281" s="18" t="n"/>
      <c r="Z281" s="17" t="n"/>
      <c r="AA281" s="18" t="n"/>
      <c r="AB281" s="19" t="n"/>
    </row>
    <row r="282">
      <c r="A282" s="16">
        <f>IF(C282="","",ROW()-1)</f>
        <v/>
      </c>
      <c r="B282" s="17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9" t="n"/>
      <c r="L282" s="19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7" t="n"/>
      <c r="V282" s="18" t="n"/>
      <c r="W282" s="20">
        <f>IF(U282="","",U282+Summary!$C$4)</f>
        <v/>
      </c>
      <c r="X282" s="16">
        <f>IF(OR(U282="",Y282="Removed",Y282="Deindexed only",Y282="No action needed"),"",TODAY()-U282)</f>
        <v/>
      </c>
      <c r="Y282" s="18" t="n"/>
      <c r="Z282" s="17" t="n"/>
      <c r="AA282" s="18" t="n"/>
      <c r="AB282" s="19" t="n"/>
    </row>
    <row r="283">
      <c r="A283" s="16">
        <f>IF(C283="","",ROW()-1)</f>
        <v/>
      </c>
      <c r="B283" s="17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9" t="n"/>
      <c r="L283" s="19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7" t="n"/>
      <c r="V283" s="18" t="n"/>
      <c r="W283" s="20">
        <f>IF(U283="","",U283+Summary!$C$4)</f>
        <v/>
      </c>
      <c r="X283" s="16">
        <f>IF(OR(U283="",Y283="Removed",Y283="Deindexed only",Y283="No action needed"),"",TODAY()-U283)</f>
        <v/>
      </c>
      <c r="Y283" s="18" t="n"/>
      <c r="Z283" s="17" t="n"/>
      <c r="AA283" s="18" t="n"/>
      <c r="AB283" s="19" t="n"/>
    </row>
    <row r="284">
      <c r="A284" s="16">
        <f>IF(C284="","",ROW()-1)</f>
        <v/>
      </c>
      <c r="B284" s="17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9" t="n"/>
      <c r="L284" s="19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7" t="n"/>
      <c r="V284" s="18" t="n"/>
      <c r="W284" s="20">
        <f>IF(U284="","",U284+Summary!$C$4)</f>
        <v/>
      </c>
      <c r="X284" s="16">
        <f>IF(OR(U284="",Y284="Removed",Y284="Deindexed only",Y284="No action needed"),"",TODAY()-U284)</f>
        <v/>
      </c>
      <c r="Y284" s="18" t="n"/>
      <c r="Z284" s="17" t="n"/>
      <c r="AA284" s="18" t="n"/>
      <c r="AB284" s="19" t="n"/>
    </row>
    <row r="285">
      <c r="A285" s="16">
        <f>IF(C285="","",ROW()-1)</f>
        <v/>
      </c>
      <c r="B285" s="17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9" t="n"/>
      <c r="L285" s="19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7" t="n"/>
      <c r="V285" s="18" t="n"/>
      <c r="W285" s="20">
        <f>IF(U285="","",U285+Summary!$C$4)</f>
        <v/>
      </c>
      <c r="X285" s="16">
        <f>IF(OR(U285="",Y285="Removed",Y285="Deindexed only",Y285="No action needed"),"",TODAY()-U285)</f>
        <v/>
      </c>
      <c r="Y285" s="18" t="n"/>
      <c r="Z285" s="17" t="n"/>
      <c r="AA285" s="18" t="n"/>
      <c r="AB285" s="19" t="n"/>
    </row>
    <row r="286">
      <c r="A286" s="16">
        <f>IF(C286="","",ROW()-1)</f>
        <v/>
      </c>
      <c r="B286" s="17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9" t="n"/>
      <c r="L286" s="19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7" t="n"/>
      <c r="V286" s="18" t="n"/>
      <c r="W286" s="20">
        <f>IF(U286="","",U286+Summary!$C$4)</f>
        <v/>
      </c>
      <c r="X286" s="16">
        <f>IF(OR(U286="",Y286="Removed",Y286="Deindexed only",Y286="No action needed"),"",TODAY()-U286)</f>
        <v/>
      </c>
      <c r="Y286" s="18" t="n"/>
      <c r="Z286" s="17" t="n"/>
      <c r="AA286" s="18" t="n"/>
      <c r="AB286" s="19" t="n"/>
    </row>
    <row r="287">
      <c r="A287" s="16">
        <f>IF(C287="","",ROW()-1)</f>
        <v/>
      </c>
      <c r="B287" s="17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9" t="n"/>
      <c r="L287" s="19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7" t="n"/>
      <c r="V287" s="18" t="n"/>
      <c r="W287" s="20">
        <f>IF(U287="","",U287+Summary!$C$4)</f>
        <v/>
      </c>
      <c r="X287" s="16">
        <f>IF(OR(U287="",Y287="Removed",Y287="Deindexed only",Y287="No action needed"),"",TODAY()-U287)</f>
        <v/>
      </c>
      <c r="Y287" s="18" t="n"/>
      <c r="Z287" s="17" t="n"/>
      <c r="AA287" s="18" t="n"/>
      <c r="AB287" s="19" t="n"/>
    </row>
    <row r="288">
      <c r="A288" s="16">
        <f>IF(C288="","",ROW()-1)</f>
        <v/>
      </c>
      <c r="B288" s="17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9" t="n"/>
      <c r="L288" s="19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7" t="n"/>
      <c r="V288" s="18" t="n"/>
      <c r="W288" s="20">
        <f>IF(U288="","",U288+Summary!$C$4)</f>
        <v/>
      </c>
      <c r="X288" s="16">
        <f>IF(OR(U288="",Y288="Removed",Y288="Deindexed only",Y288="No action needed"),"",TODAY()-U288)</f>
        <v/>
      </c>
      <c r="Y288" s="18" t="n"/>
      <c r="Z288" s="17" t="n"/>
      <c r="AA288" s="18" t="n"/>
      <c r="AB288" s="19" t="n"/>
    </row>
    <row r="289">
      <c r="A289" s="16">
        <f>IF(C289="","",ROW()-1)</f>
        <v/>
      </c>
      <c r="B289" s="17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9" t="n"/>
      <c r="L289" s="19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7" t="n"/>
      <c r="V289" s="18" t="n"/>
      <c r="W289" s="20">
        <f>IF(U289="","",U289+Summary!$C$4)</f>
        <v/>
      </c>
      <c r="X289" s="16">
        <f>IF(OR(U289="",Y289="Removed",Y289="Deindexed only",Y289="No action needed"),"",TODAY()-U289)</f>
        <v/>
      </c>
      <c r="Y289" s="18" t="n"/>
      <c r="Z289" s="17" t="n"/>
      <c r="AA289" s="18" t="n"/>
      <c r="AB289" s="19" t="n"/>
    </row>
    <row r="290">
      <c r="A290" s="16">
        <f>IF(C290="","",ROW()-1)</f>
        <v/>
      </c>
      <c r="B290" s="17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9" t="n"/>
      <c r="L290" s="19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7" t="n"/>
      <c r="V290" s="18" t="n"/>
      <c r="W290" s="20">
        <f>IF(U290="","",U290+Summary!$C$4)</f>
        <v/>
      </c>
      <c r="X290" s="16">
        <f>IF(OR(U290="",Y290="Removed",Y290="Deindexed only",Y290="No action needed"),"",TODAY()-U290)</f>
        <v/>
      </c>
      <c r="Y290" s="18" t="n"/>
      <c r="Z290" s="17" t="n"/>
      <c r="AA290" s="18" t="n"/>
      <c r="AB290" s="19" t="n"/>
    </row>
    <row r="291">
      <c r="A291" s="16">
        <f>IF(C291="","",ROW()-1)</f>
        <v/>
      </c>
      <c r="B291" s="17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9" t="n"/>
      <c r="L291" s="19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7" t="n"/>
      <c r="V291" s="18" t="n"/>
      <c r="W291" s="20">
        <f>IF(U291="","",U291+Summary!$C$4)</f>
        <v/>
      </c>
      <c r="X291" s="16">
        <f>IF(OR(U291="",Y291="Removed",Y291="Deindexed only",Y291="No action needed"),"",TODAY()-U291)</f>
        <v/>
      </c>
      <c r="Y291" s="18" t="n"/>
      <c r="Z291" s="17" t="n"/>
      <c r="AA291" s="18" t="n"/>
      <c r="AB291" s="19" t="n"/>
    </row>
    <row r="292">
      <c r="A292" s="16">
        <f>IF(C292="","",ROW()-1)</f>
        <v/>
      </c>
      <c r="B292" s="17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9" t="n"/>
      <c r="L292" s="19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7" t="n"/>
      <c r="V292" s="18" t="n"/>
      <c r="W292" s="20">
        <f>IF(U292="","",U292+Summary!$C$4)</f>
        <v/>
      </c>
      <c r="X292" s="16">
        <f>IF(OR(U292="",Y292="Removed",Y292="Deindexed only",Y292="No action needed"),"",TODAY()-U292)</f>
        <v/>
      </c>
      <c r="Y292" s="18" t="n"/>
      <c r="Z292" s="17" t="n"/>
      <c r="AA292" s="18" t="n"/>
      <c r="AB292" s="19" t="n"/>
    </row>
    <row r="293">
      <c r="A293" s="16">
        <f>IF(C293="","",ROW()-1)</f>
        <v/>
      </c>
      <c r="B293" s="17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9" t="n"/>
      <c r="L293" s="19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7" t="n"/>
      <c r="V293" s="18" t="n"/>
      <c r="W293" s="20">
        <f>IF(U293="","",U293+Summary!$C$4)</f>
        <v/>
      </c>
      <c r="X293" s="16">
        <f>IF(OR(U293="",Y293="Removed",Y293="Deindexed only",Y293="No action needed"),"",TODAY()-U293)</f>
        <v/>
      </c>
      <c r="Y293" s="18" t="n"/>
      <c r="Z293" s="17" t="n"/>
      <c r="AA293" s="18" t="n"/>
      <c r="AB293" s="19" t="n"/>
    </row>
    <row r="294">
      <c r="A294" s="16">
        <f>IF(C294="","",ROW()-1)</f>
        <v/>
      </c>
      <c r="B294" s="17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9" t="n"/>
      <c r="L294" s="19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7" t="n"/>
      <c r="V294" s="18" t="n"/>
      <c r="W294" s="20">
        <f>IF(U294="","",U294+Summary!$C$4)</f>
        <v/>
      </c>
      <c r="X294" s="16">
        <f>IF(OR(U294="",Y294="Removed",Y294="Deindexed only",Y294="No action needed"),"",TODAY()-U294)</f>
        <v/>
      </c>
      <c r="Y294" s="18" t="n"/>
      <c r="Z294" s="17" t="n"/>
      <c r="AA294" s="18" t="n"/>
      <c r="AB294" s="19" t="n"/>
    </row>
    <row r="295">
      <c r="A295" s="16">
        <f>IF(C295="","",ROW()-1)</f>
        <v/>
      </c>
      <c r="B295" s="17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9" t="n"/>
      <c r="L295" s="19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7" t="n"/>
      <c r="V295" s="18" t="n"/>
      <c r="W295" s="20">
        <f>IF(U295="","",U295+Summary!$C$4)</f>
        <v/>
      </c>
      <c r="X295" s="16">
        <f>IF(OR(U295="",Y295="Removed",Y295="Deindexed only",Y295="No action needed"),"",TODAY()-U295)</f>
        <v/>
      </c>
      <c r="Y295" s="18" t="n"/>
      <c r="Z295" s="17" t="n"/>
      <c r="AA295" s="18" t="n"/>
      <c r="AB295" s="19" t="n"/>
    </row>
    <row r="296">
      <c r="A296" s="16">
        <f>IF(C296="","",ROW()-1)</f>
        <v/>
      </c>
      <c r="B296" s="17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9" t="n"/>
      <c r="L296" s="19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7" t="n"/>
      <c r="V296" s="18" t="n"/>
      <c r="W296" s="20">
        <f>IF(U296="","",U296+Summary!$C$4)</f>
        <v/>
      </c>
      <c r="X296" s="16">
        <f>IF(OR(U296="",Y296="Removed",Y296="Deindexed only",Y296="No action needed"),"",TODAY()-U296)</f>
        <v/>
      </c>
      <c r="Y296" s="18" t="n"/>
      <c r="Z296" s="17" t="n"/>
      <c r="AA296" s="18" t="n"/>
      <c r="AB296" s="19" t="n"/>
    </row>
    <row r="297">
      <c r="A297" s="16">
        <f>IF(C297="","",ROW()-1)</f>
        <v/>
      </c>
      <c r="B297" s="17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9" t="n"/>
      <c r="L297" s="19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7" t="n"/>
      <c r="V297" s="18" t="n"/>
      <c r="W297" s="20">
        <f>IF(U297="","",U297+Summary!$C$4)</f>
        <v/>
      </c>
      <c r="X297" s="16">
        <f>IF(OR(U297="",Y297="Removed",Y297="Deindexed only",Y297="No action needed"),"",TODAY()-U297)</f>
        <v/>
      </c>
      <c r="Y297" s="18" t="n"/>
      <c r="Z297" s="17" t="n"/>
      <c r="AA297" s="18" t="n"/>
      <c r="AB297" s="19" t="n"/>
    </row>
    <row r="298">
      <c r="A298" s="16">
        <f>IF(C298="","",ROW()-1)</f>
        <v/>
      </c>
      <c r="B298" s="17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9" t="n"/>
      <c r="L298" s="19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7" t="n"/>
      <c r="V298" s="18" t="n"/>
      <c r="W298" s="20">
        <f>IF(U298="","",U298+Summary!$C$4)</f>
        <v/>
      </c>
      <c r="X298" s="16">
        <f>IF(OR(U298="",Y298="Removed",Y298="Deindexed only",Y298="No action needed"),"",TODAY()-U298)</f>
        <v/>
      </c>
      <c r="Y298" s="18" t="n"/>
      <c r="Z298" s="17" t="n"/>
      <c r="AA298" s="18" t="n"/>
      <c r="AB298" s="19" t="n"/>
    </row>
    <row r="299">
      <c r="A299" s="16">
        <f>IF(C299="","",ROW()-1)</f>
        <v/>
      </c>
      <c r="B299" s="17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9" t="n"/>
      <c r="L299" s="19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7" t="n"/>
      <c r="V299" s="18" t="n"/>
      <c r="W299" s="20">
        <f>IF(U299="","",U299+Summary!$C$4)</f>
        <v/>
      </c>
      <c r="X299" s="16">
        <f>IF(OR(U299="",Y299="Removed",Y299="Deindexed only",Y299="No action needed"),"",TODAY()-U299)</f>
        <v/>
      </c>
      <c r="Y299" s="18" t="n"/>
      <c r="Z299" s="17" t="n"/>
      <c r="AA299" s="18" t="n"/>
      <c r="AB299" s="19" t="n"/>
    </row>
    <row r="300">
      <c r="A300" s="16">
        <f>IF(C300="","",ROW()-1)</f>
        <v/>
      </c>
      <c r="B300" s="17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9" t="n"/>
      <c r="L300" s="19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7" t="n"/>
      <c r="V300" s="18" t="n"/>
      <c r="W300" s="20">
        <f>IF(U300="","",U300+Summary!$C$4)</f>
        <v/>
      </c>
      <c r="X300" s="16">
        <f>IF(OR(U300="",Y300="Removed",Y300="Deindexed only",Y300="No action needed"),"",TODAY()-U300)</f>
        <v/>
      </c>
      <c r="Y300" s="18" t="n"/>
      <c r="Z300" s="17" t="n"/>
      <c r="AA300" s="18" t="n"/>
      <c r="AB300" s="19" t="n"/>
    </row>
    <row r="301">
      <c r="A301" s="16">
        <f>IF(C301="","",ROW()-1)</f>
        <v/>
      </c>
      <c r="B301" s="17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9" t="n"/>
      <c r="L301" s="19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7" t="n"/>
      <c r="V301" s="18" t="n"/>
      <c r="W301" s="20">
        <f>IF(U301="","",U301+Summary!$C$4)</f>
        <v/>
      </c>
      <c r="X301" s="16">
        <f>IF(OR(U301="",Y301="Removed",Y301="Deindexed only",Y301="No action needed"),"",TODAY()-U301)</f>
        <v/>
      </c>
      <c r="Y301" s="18" t="n"/>
      <c r="Z301" s="17" t="n"/>
      <c r="AA301" s="18" t="n"/>
      <c r="AB301" s="19" t="n"/>
    </row>
    <row r="302">
      <c r="A302" s="16">
        <f>IF(C302="","",ROW()-1)</f>
        <v/>
      </c>
      <c r="B302" s="17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9" t="n"/>
      <c r="L302" s="19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7" t="n"/>
      <c r="V302" s="18" t="n"/>
      <c r="W302" s="20">
        <f>IF(U302="","",U302+Summary!$C$4)</f>
        <v/>
      </c>
      <c r="X302" s="16">
        <f>IF(OR(U302="",Y302="Removed",Y302="Deindexed only",Y302="No action needed"),"",TODAY()-U302)</f>
        <v/>
      </c>
      <c r="Y302" s="18" t="n"/>
      <c r="Z302" s="17" t="n"/>
      <c r="AA302" s="18" t="n"/>
      <c r="AB302" s="19" t="n"/>
    </row>
    <row r="303">
      <c r="A303" s="16">
        <f>IF(C303="","",ROW()-1)</f>
        <v/>
      </c>
      <c r="B303" s="17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9" t="n"/>
      <c r="L303" s="19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7" t="n"/>
      <c r="V303" s="18" t="n"/>
      <c r="W303" s="20">
        <f>IF(U303="","",U303+Summary!$C$4)</f>
        <v/>
      </c>
      <c r="X303" s="16">
        <f>IF(OR(U303="",Y303="Removed",Y303="Deindexed only",Y303="No action needed"),"",TODAY()-U303)</f>
        <v/>
      </c>
      <c r="Y303" s="18" t="n"/>
      <c r="Z303" s="17" t="n"/>
      <c r="AA303" s="18" t="n"/>
      <c r="AB303" s="19" t="n"/>
    </row>
    <row r="304">
      <c r="A304" s="16">
        <f>IF(C304="","",ROW()-1)</f>
        <v/>
      </c>
      <c r="B304" s="17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9" t="n"/>
      <c r="L304" s="19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7" t="n"/>
      <c r="V304" s="18" t="n"/>
      <c r="W304" s="20">
        <f>IF(U304="","",U304+Summary!$C$4)</f>
        <v/>
      </c>
      <c r="X304" s="16">
        <f>IF(OR(U304="",Y304="Removed",Y304="Deindexed only",Y304="No action needed"),"",TODAY()-U304)</f>
        <v/>
      </c>
      <c r="Y304" s="18" t="n"/>
      <c r="Z304" s="17" t="n"/>
      <c r="AA304" s="18" t="n"/>
      <c r="AB304" s="19" t="n"/>
    </row>
    <row r="305">
      <c r="A305" s="16">
        <f>IF(C305="","",ROW()-1)</f>
        <v/>
      </c>
      <c r="B305" s="17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9" t="n"/>
      <c r="L305" s="19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7" t="n"/>
      <c r="V305" s="18" t="n"/>
      <c r="W305" s="20">
        <f>IF(U305="","",U305+Summary!$C$4)</f>
        <v/>
      </c>
      <c r="X305" s="16">
        <f>IF(OR(U305="",Y305="Removed",Y305="Deindexed only",Y305="No action needed"),"",TODAY()-U305)</f>
        <v/>
      </c>
      <c r="Y305" s="18" t="n"/>
      <c r="Z305" s="17" t="n"/>
      <c r="AA305" s="18" t="n"/>
      <c r="AB305" s="19" t="n"/>
    </row>
    <row r="306">
      <c r="A306" s="16">
        <f>IF(C306="","",ROW()-1)</f>
        <v/>
      </c>
      <c r="B306" s="17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9" t="n"/>
      <c r="L306" s="19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7" t="n"/>
      <c r="V306" s="18" t="n"/>
      <c r="W306" s="20">
        <f>IF(U306="","",U306+Summary!$C$4)</f>
        <v/>
      </c>
      <c r="X306" s="16">
        <f>IF(OR(U306="",Y306="Removed",Y306="Deindexed only",Y306="No action needed"),"",TODAY()-U306)</f>
        <v/>
      </c>
      <c r="Y306" s="18" t="n"/>
      <c r="Z306" s="17" t="n"/>
      <c r="AA306" s="18" t="n"/>
      <c r="AB306" s="19" t="n"/>
    </row>
    <row r="307">
      <c r="A307" s="16">
        <f>IF(C307="","",ROW()-1)</f>
        <v/>
      </c>
      <c r="B307" s="17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9" t="n"/>
      <c r="L307" s="19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7" t="n"/>
      <c r="V307" s="18" t="n"/>
      <c r="W307" s="20">
        <f>IF(U307="","",U307+Summary!$C$4)</f>
        <v/>
      </c>
      <c r="X307" s="16">
        <f>IF(OR(U307="",Y307="Removed",Y307="Deindexed only",Y307="No action needed"),"",TODAY()-U307)</f>
        <v/>
      </c>
      <c r="Y307" s="18" t="n"/>
      <c r="Z307" s="17" t="n"/>
      <c r="AA307" s="18" t="n"/>
      <c r="AB307" s="19" t="n"/>
    </row>
    <row r="308">
      <c r="A308" s="16">
        <f>IF(C308="","",ROW()-1)</f>
        <v/>
      </c>
      <c r="B308" s="17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9" t="n"/>
      <c r="L308" s="19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7" t="n"/>
      <c r="V308" s="18" t="n"/>
      <c r="W308" s="20">
        <f>IF(U308="","",U308+Summary!$C$4)</f>
        <v/>
      </c>
      <c r="X308" s="16">
        <f>IF(OR(U308="",Y308="Removed",Y308="Deindexed only",Y308="No action needed"),"",TODAY()-U308)</f>
        <v/>
      </c>
      <c r="Y308" s="18" t="n"/>
      <c r="Z308" s="17" t="n"/>
      <c r="AA308" s="18" t="n"/>
      <c r="AB308" s="19" t="n"/>
    </row>
    <row r="309">
      <c r="A309" s="16">
        <f>IF(C309="","",ROW()-1)</f>
        <v/>
      </c>
      <c r="B309" s="17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9" t="n"/>
      <c r="L309" s="19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7" t="n"/>
      <c r="V309" s="18" t="n"/>
      <c r="W309" s="20">
        <f>IF(U309="","",U309+Summary!$C$4)</f>
        <v/>
      </c>
      <c r="X309" s="16">
        <f>IF(OR(U309="",Y309="Removed",Y309="Deindexed only",Y309="No action needed"),"",TODAY()-U309)</f>
        <v/>
      </c>
      <c r="Y309" s="18" t="n"/>
      <c r="Z309" s="17" t="n"/>
      <c r="AA309" s="18" t="n"/>
      <c r="AB309" s="19" t="n"/>
    </row>
    <row r="310">
      <c r="A310" s="16">
        <f>IF(C310="","",ROW()-1)</f>
        <v/>
      </c>
      <c r="B310" s="17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9" t="n"/>
      <c r="L310" s="19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7" t="n"/>
      <c r="V310" s="18" t="n"/>
      <c r="W310" s="20">
        <f>IF(U310="","",U310+Summary!$C$4)</f>
        <v/>
      </c>
      <c r="X310" s="16">
        <f>IF(OR(U310="",Y310="Removed",Y310="Deindexed only",Y310="No action needed"),"",TODAY()-U310)</f>
        <v/>
      </c>
      <c r="Y310" s="18" t="n"/>
      <c r="Z310" s="17" t="n"/>
      <c r="AA310" s="18" t="n"/>
      <c r="AB310" s="19" t="n"/>
    </row>
    <row r="311">
      <c r="A311" s="16">
        <f>IF(C311="","",ROW()-1)</f>
        <v/>
      </c>
      <c r="B311" s="17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9" t="n"/>
      <c r="L311" s="19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7" t="n"/>
      <c r="V311" s="18" t="n"/>
      <c r="W311" s="20">
        <f>IF(U311="","",U311+Summary!$C$4)</f>
        <v/>
      </c>
      <c r="X311" s="16">
        <f>IF(OR(U311="",Y311="Removed",Y311="Deindexed only",Y311="No action needed"),"",TODAY()-U311)</f>
        <v/>
      </c>
      <c r="Y311" s="18" t="n"/>
      <c r="Z311" s="17" t="n"/>
      <c r="AA311" s="18" t="n"/>
      <c r="AB311" s="19" t="n"/>
    </row>
    <row r="312">
      <c r="A312" s="16">
        <f>IF(C312="","",ROW()-1)</f>
        <v/>
      </c>
      <c r="B312" s="17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9" t="n"/>
      <c r="L312" s="19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7" t="n"/>
      <c r="V312" s="18" t="n"/>
      <c r="W312" s="20">
        <f>IF(U312="","",U312+Summary!$C$4)</f>
        <v/>
      </c>
      <c r="X312" s="16">
        <f>IF(OR(U312="",Y312="Removed",Y312="Deindexed only",Y312="No action needed"),"",TODAY()-U312)</f>
        <v/>
      </c>
      <c r="Y312" s="18" t="n"/>
      <c r="Z312" s="17" t="n"/>
      <c r="AA312" s="18" t="n"/>
      <c r="AB312" s="19" t="n"/>
    </row>
    <row r="313">
      <c r="A313" s="16">
        <f>IF(C313="","",ROW()-1)</f>
        <v/>
      </c>
      <c r="B313" s="17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9" t="n"/>
      <c r="L313" s="19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7" t="n"/>
      <c r="V313" s="18" t="n"/>
      <c r="W313" s="20">
        <f>IF(U313="","",U313+Summary!$C$4)</f>
        <v/>
      </c>
      <c r="X313" s="16">
        <f>IF(OR(U313="",Y313="Removed",Y313="Deindexed only",Y313="No action needed"),"",TODAY()-U313)</f>
        <v/>
      </c>
      <c r="Y313" s="18" t="n"/>
      <c r="Z313" s="17" t="n"/>
      <c r="AA313" s="18" t="n"/>
      <c r="AB313" s="19" t="n"/>
    </row>
    <row r="314">
      <c r="A314" s="16">
        <f>IF(C314="","",ROW()-1)</f>
        <v/>
      </c>
      <c r="B314" s="17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9" t="n"/>
      <c r="L314" s="19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7" t="n"/>
      <c r="V314" s="18" t="n"/>
      <c r="W314" s="20">
        <f>IF(U314="","",U314+Summary!$C$4)</f>
        <v/>
      </c>
      <c r="X314" s="16">
        <f>IF(OR(U314="",Y314="Removed",Y314="Deindexed only",Y314="No action needed"),"",TODAY()-U314)</f>
        <v/>
      </c>
      <c r="Y314" s="18" t="n"/>
      <c r="Z314" s="17" t="n"/>
      <c r="AA314" s="18" t="n"/>
      <c r="AB314" s="19" t="n"/>
    </row>
    <row r="315">
      <c r="A315" s="16">
        <f>IF(C315="","",ROW()-1)</f>
        <v/>
      </c>
      <c r="B315" s="17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9" t="n"/>
      <c r="L315" s="19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7" t="n"/>
      <c r="V315" s="18" t="n"/>
      <c r="W315" s="20">
        <f>IF(U315="","",U315+Summary!$C$4)</f>
        <v/>
      </c>
      <c r="X315" s="16">
        <f>IF(OR(U315="",Y315="Removed",Y315="Deindexed only",Y315="No action needed"),"",TODAY()-U315)</f>
        <v/>
      </c>
      <c r="Y315" s="18" t="n"/>
      <c r="Z315" s="17" t="n"/>
      <c r="AA315" s="18" t="n"/>
      <c r="AB315" s="19" t="n"/>
    </row>
    <row r="316">
      <c r="A316" s="16">
        <f>IF(C316="","",ROW()-1)</f>
        <v/>
      </c>
      <c r="B316" s="17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9" t="n"/>
      <c r="L316" s="19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7" t="n"/>
      <c r="V316" s="18" t="n"/>
      <c r="W316" s="20">
        <f>IF(U316="","",U316+Summary!$C$4)</f>
        <v/>
      </c>
      <c r="X316" s="16">
        <f>IF(OR(U316="",Y316="Removed",Y316="Deindexed only",Y316="No action needed"),"",TODAY()-U316)</f>
        <v/>
      </c>
      <c r="Y316" s="18" t="n"/>
      <c r="Z316" s="17" t="n"/>
      <c r="AA316" s="18" t="n"/>
      <c r="AB316" s="19" t="n"/>
    </row>
    <row r="317">
      <c r="A317" s="16">
        <f>IF(C317="","",ROW()-1)</f>
        <v/>
      </c>
      <c r="B317" s="17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9" t="n"/>
      <c r="L317" s="19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7" t="n"/>
      <c r="V317" s="18" t="n"/>
      <c r="W317" s="20">
        <f>IF(U317="","",U317+Summary!$C$4)</f>
        <v/>
      </c>
      <c r="X317" s="16">
        <f>IF(OR(U317="",Y317="Removed",Y317="Deindexed only",Y317="No action needed"),"",TODAY()-U317)</f>
        <v/>
      </c>
      <c r="Y317" s="18" t="n"/>
      <c r="Z317" s="17" t="n"/>
      <c r="AA317" s="18" t="n"/>
      <c r="AB317" s="19" t="n"/>
    </row>
    <row r="318">
      <c r="A318" s="16">
        <f>IF(C318="","",ROW()-1)</f>
        <v/>
      </c>
      <c r="B318" s="17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9" t="n"/>
      <c r="L318" s="19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7" t="n"/>
      <c r="V318" s="18" t="n"/>
      <c r="W318" s="20">
        <f>IF(U318="","",U318+Summary!$C$4)</f>
        <v/>
      </c>
      <c r="X318" s="16">
        <f>IF(OR(U318="",Y318="Removed",Y318="Deindexed only",Y318="No action needed"),"",TODAY()-U318)</f>
        <v/>
      </c>
      <c r="Y318" s="18" t="n"/>
      <c r="Z318" s="17" t="n"/>
      <c r="AA318" s="18" t="n"/>
      <c r="AB318" s="19" t="n"/>
    </row>
    <row r="319">
      <c r="A319" s="16">
        <f>IF(C319="","",ROW()-1)</f>
        <v/>
      </c>
      <c r="B319" s="17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9" t="n"/>
      <c r="L319" s="19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7" t="n"/>
      <c r="V319" s="18" t="n"/>
      <c r="W319" s="20">
        <f>IF(U319="","",U319+Summary!$C$4)</f>
        <v/>
      </c>
      <c r="X319" s="16">
        <f>IF(OR(U319="",Y319="Removed",Y319="Deindexed only",Y319="No action needed"),"",TODAY()-U319)</f>
        <v/>
      </c>
      <c r="Y319" s="18" t="n"/>
      <c r="Z319" s="17" t="n"/>
      <c r="AA319" s="18" t="n"/>
      <c r="AB319" s="19" t="n"/>
    </row>
    <row r="320">
      <c r="A320" s="16">
        <f>IF(C320="","",ROW()-1)</f>
        <v/>
      </c>
      <c r="B320" s="17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9" t="n"/>
      <c r="L320" s="19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7" t="n"/>
      <c r="V320" s="18" t="n"/>
      <c r="W320" s="20">
        <f>IF(U320="","",U320+Summary!$C$4)</f>
        <v/>
      </c>
      <c r="X320" s="16">
        <f>IF(OR(U320="",Y320="Removed",Y320="Deindexed only",Y320="No action needed"),"",TODAY()-U320)</f>
        <v/>
      </c>
      <c r="Y320" s="18" t="n"/>
      <c r="Z320" s="17" t="n"/>
      <c r="AA320" s="18" t="n"/>
      <c r="AB320" s="19" t="n"/>
    </row>
    <row r="321">
      <c r="A321" s="16">
        <f>IF(C321="","",ROW()-1)</f>
        <v/>
      </c>
      <c r="B321" s="17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9" t="n"/>
      <c r="L321" s="19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7" t="n"/>
      <c r="V321" s="18" t="n"/>
      <c r="W321" s="20">
        <f>IF(U321="","",U321+Summary!$C$4)</f>
        <v/>
      </c>
      <c r="X321" s="16">
        <f>IF(OR(U321="",Y321="Removed",Y321="Deindexed only",Y321="No action needed"),"",TODAY()-U321)</f>
        <v/>
      </c>
      <c r="Y321" s="18" t="n"/>
      <c r="Z321" s="17" t="n"/>
      <c r="AA321" s="18" t="n"/>
      <c r="AB321" s="19" t="n"/>
    </row>
    <row r="322">
      <c r="A322" s="16">
        <f>IF(C322="","",ROW()-1)</f>
        <v/>
      </c>
      <c r="B322" s="17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9" t="n"/>
      <c r="L322" s="19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7" t="n"/>
      <c r="V322" s="18" t="n"/>
      <c r="W322" s="20">
        <f>IF(U322="","",U322+Summary!$C$4)</f>
        <v/>
      </c>
      <c r="X322" s="16">
        <f>IF(OR(U322="",Y322="Removed",Y322="Deindexed only",Y322="No action needed"),"",TODAY()-U322)</f>
        <v/>
      </c>
      <c r="Y322" s="18" t="n"/>
      <c r="Z322" s="17" t="n"/>
      <c r="AA322" s="18" t="n"/>
      <c r="AB322" s="19" t="n"/>
    </row>
    <row r="323">
      <c r="A323" s="16">
        <f>IF(C323="","",ROW()-1)</f>
        <v/>
      </c>
      <c r="B323" s="17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9" t="n"/>
      <c r="L323" s="19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7" t="n"/>
      <c r="V323" s="18" t="n"/>
      <c r="W323" s="20">
        <f>IF(U323="","",U323+Summary!$C$4)</f>
        <v/>
      </c>
      <c r="X323" s="16">
        <f>IF(OR(U323="",Y323="Removed",Y323="Deindexed only",Y323="No action needed"),"",TODAY()-U323)</f>
        <v/>
      </c>
      <c r="Y323" s="18" t="n"/>
      <c r="Z323" s="17" t="n"/>
      <c r="AA323" s="18" t="n"/>
      <c r="AB323" s="19" t="n"/>
    </row>
    <row r="324">
      <c r="A324" s="16">
        <f>IF(C324="","",ROW()-1)</f>
        <v/>
      </c>
      <c r="B324" s="17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9" t="n"/>
      <c r="L324" s="19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7" t="n"/>
      <c r="V324" s="18" t="n"/>
      <c r="W324" s="20">
        <f>IF(U324="","",U324+Summary!$C$4)</f>
        <v/>
      </c>
      <c r="X324" s="16">
        <f>IF(OR(U324="",Y324="Removed",Y324="Deindexed only",Y324="No action needed"),"",TODAY()-U324)</f>
        <v/>
      </c>
      <c r="Y324" s="18" t="n"/>
      <c r="Z324" s="17" t="n"/>
      <c r="AA324" s="18" t="n"/>
      <c r="AB324" s="19" t="n"/>
    </row>
    <row r="325">
      <c r="A325" s="16">
        <f>IF(C325="","",ROW()-1)</f>
        <v/>
      </c>
      <c r="B325" s="17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9" t="n"/>
      <c r="L325" s="19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7" t="n"/>
      <c r="V325" s="18" t="n"/>
      <c r="W325" s="20">
        <f>IF(U325="","",U325+Summary!$C$4)</f>
        <v/>
      </c>
      <c r="X325" s="16">
        <f>IF(OR(U325="",Y325="Removed",Y325="Deindexed only",Y325="No action needed"),"",TODAY()-U325)</f>
        <v/>
      </c>
      <c r="Y325" s="18" t="n"/>
      <c r="Z325" s="17" t="n"/>
      <c r="AA325" s="18" t="n"/>
      <c r="AB325" s="19" t="n"/>
    </row>
    <row r="326">
      <c r="A326" s="16">
        <f>IF(C326="","",ROW()-1)</f>
        <v/>
      </c>
      <c r="B326" s="17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9" t="n"/>
      <c r="L326" s="19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7" t="n"/>
      <c r="V326" s="18" t="n"/>
      <c r="W326" s="20">
        <f>IF(U326="","",U326+Summary!$C$4)</f>
        <v/>
      </c>
      <c r="X326" s="16">
        <f>IF(OR(U326="",Y326="Removed",Y326="Deindexed only",Y326="No action needed"),"",TODAY()-U326)</f>
        <v/>
      </c>
      <c r="Y326" s="18" t="n"/>
      <c r="Z326" s="17" t="n"/>
      <c r="AA326" s="18" t="n"/>
      <c r="AB326" s="19" t="n"/>
    </row>
    <row r="327">
      <c r="A327" s="16">
        <f>IF(C327="","",ROW()-1)</f>
        <v/>
      </c>
      <c r="B327" s="17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9" t="n"/>
      <c r="L327" s="19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7" t="n"/>
      <c r="V327" s="18" t="n"/>
      <c r="W327" s="20">
        <f>IF(U327="","",U327+Summary!$C$4)</f>
        <v/>
      </c>
      <c r="X327" s="16">
        <f>IF(OR(U327="",Y327="Removed",Y327="Deindexed only",Y327="No action needed"),"",TODAY()-U327)</f>
        <v/>
      </c>
      <c r="Y327" s="18" t="n"/>
      <c r="Z327" s="17" t="n"/>
      <c r="AA327" s="18" t="n"/>
      <c r="AB327" s="19" t="n"/>
    </row>
    <row r="328">
      <c r="A328" s="16">
        <f>IF(C328="","",ROW()-1)</f>
        <v/>
      </c>
      <c r="B328" s="17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9" t="n"/>
      <c r="L328" s="19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7" t="n"/>
      <c r="V328" s="18" t="n"/>
      <c r="W328" s="20">
        <f>IF(U328="","",U328+Summary!$C$4)</f>
        <v/>
      </c>
      <c r="X328" s="16">
        <f>IF(OR(U328="",Y328="Removed",Y328="Deindexed only",Y328="No action needed"),"",TODAY()-U328)</f>
        <v/>
      </c>
      <c r="Y328" s="18" t="n"/>
      <c r="Z328" s="17" t="n"/>
      <c r="AA328" s="18" t="n"/>
      <c r="AB328" s="19" t="n"/>
    </row>
    <row r="329">
      <c r="A329" s="16">
        <f>IF(C329="","",ROW()-1)</f>
        <v/>
      </c>
      <c r="B329" s="17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9" t="n"/>
      <c r="L329" s="19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7" t="n"/>
      <c r="V329" s="18" t="n"/>
      <c r="W329" s="20">
        <f>IF(U329="","",U329+Summary!$C$4)</f>
        <v/>
      </c>
      <c r="X329" s="16">
        <f>IF(OR(U329="",Y329="Removed",Y329="Deindexed only",Y329="No action needed"),"",TODAY()-U329)</f>
        <v/>
      </c>
      <c r="Y329" s="18" t="n"/>
      <c r="Z329" s="17" t="n"/>
      <c r="AA329" s="18" t="n"/>
      <c r="AB329" s="19" t="n"/>
    </row>
    <row r="330">
      <c r="A330" s="16">
        <f>IF(C330="","",ROW()-1)</f>
        <v/>
      </c>
      <c r="B330" s="17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9" t="n"/>
      <c r="L330" s="19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7" t="n"/>
      <c r="V330" s="18" t="n"/>
      <c r="W330" s="20">
        <f>IF(U330="","",U330+Summary!$C$4)</f>
        <v/>
      </c>
      <c r="X330" s="16">
        <f>IF(OR(U330="",Y330="Removed",Y330="Deindexed only",Y330="No action needed"),"",TODAY()-U330)</f>
        <v/>
      </c>
      <c r="Y330" s="18" t="n"/>
      <c r="Z330" s="17" t="n"/>
      <c r="AA330" s="18" t="n"/>
      <c r="AB330" s="19" t="n"/>
    </row>
    <row r="331">
      <c r="A331" s="16">
        <f>IF(C331="","",ROW()-1)</f>
        <v/>
      </c>
      <c r="B331" s="17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9" t="n"/>
      <c r="L331" s="19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7" t="n"/>
      <c r="V331" s="18" t="n"/>
      <c r="W331" s="20">
        <f>IF(U331="","",U331+Summary!$C$4)</f>
        <v/>
      </c>
      <c r="X331" s="16">
        <f>IF(OR(U331="",Y331="Removed",Y331="Deindexed only",Y331="No action needed"),"",TODAY()-U331)</f>
        <v/>
      </c>
      <c r="Y331" s="18" t="n"/>
      <c r="Z331" s="17" t="n"/>
      <c r="AA331" s="18" t="n"/>
      <c r="AB331" s="19" t="n"/>
    </row>
    <row r="332">
      <c r="A332" s="16">
        <f>IF(C332="","",ROW()-1)</f>
        <v/>
      </c>
      <c r="B332" s="17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9" t="n"/>
      <c r="L332" s="19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7" t="n"/>
      <c r="V332" s="18" t="n"/>
      <c r="W332" s="20">
        <f>IF(U332="","",U332+Summary!$C$4)</f>
        <v/>
      </c>
      <c r="X332" s="16">
        <f>IF(OR(U332="",Y332="Removed",Y332="Deindexed only",Y332="No action needed"),"",TODAY()-U332)</f>
        <v/>
      </c>
      <c r="Y332" s="18" t="n"/>
      <c r="Z332" s="17" t="n"/>
      <c r="AA332" s="18" t="n"/>
      <c r="AB332" s="19" t="n"/>
    </row>
    <row r="333">
      <c r="A333" s="16">
        <f>IF(C333="","",ROW()-1)</f>
        <v/>
      </c>
      <c r="B333" s="17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9" t="n"/>
      <c r="L333" s="19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7" t="n"/>
      <c r="V333" s="18" t="n"/>
      <c r="W333" s="20">
        <f>IF(U333="","",U333+Summary!$C$4)</f>
        <v/>
      </c>
      <c r="X333" s="16">
        <f>IF(OR(U333="",Y333="Removed",Y333="Deindexed only",Y333="No action needed"),"",TODAY()-U333)</f>
        <v/>
      </c>
      <c r="Y333" s="18" t="n"/>
      <c r="Z333" s="17" t="n"/>
      <c r="AA333" s="18" t="n"/>
      <c r="AB333" s="19" t="n"/>
    </row>
    <row r="334">
      <c r="A334" s="16">
        <f>IF(C334="","",ROW()-1)</f>
        <v/>
      </c>
      <c r="B334" s="17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9" t="n"/>
      <c r="L334" s="19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7" t="n"/>
      <c r="V334" s="18" t="n"/>
      <c r="W334" s="20">
        <f>IF(U334="","",U334+Summary!$C$4)</f>
        <v/>
      </c>
      <c r="X334" s="16">
        <f>IF(OR(U334="",Y334="Removed",Y334="Deindexed only",Y334="No action needed"),"",TODAY()-U334)</f>
        <v/>
      </c>
      <c r="Y334" s="18" t="n"/>
      <c r="Z334" s="17" t="n"/>
      <c r="AA334" s="18" t="n"/>
      <c r="AB334" s="19" t="n"/>
    </row>
    <row r="335">
      <c r="A335" s="16">
        <f>IF(C335="","",ROW()-1)</f>
        <v/>
      </c>
      <c r="B335" s="17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9" t="n"/>
      <c r="L335" s="19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7" t="n"/>
      <c r="V335" s="18" t="n"/>
      <c r="W335" s="20">
        <f>IF(U335="","",U335+Summary!$C$4)</f>
        <v/>
      </c>
      <c r="X335" s="16">
        <f>IF(OR(U335="",Y335="Removed",Y335="Deindexed only",Y335="No action needed"),"",TODAY()-U335)</f>
        <v/>
      </c>
      <c r="Y335" s="18" t="n"/>
      <c r="Z335" s="17" t="n"/>
      <c r="AA335" s="18" t="n"/>
      <c r="AB335" s="19" t="n"/>
    </row>
    <row r="336">
      <c r="A336" s="16">
        <f>IF(C336="","",ROW()-1)</f>
        <v/>
      </c>
      <c r="B336" s="17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9" t="n"/>
      <c r="L336" s="19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7" t="n"/>
      <c r="V336" s="18" t="n"/>
      <c r="W336" s="20">
        <f>IF(U336="","",U336+Summary!$C$4)</f>
        <v/>
      </c>
      <c r="X336" s="16">
        <f>IF(OR(U336="",Y336="Removed",Y336="Deindexed only",Y336="No action needed"),"",TODAY()-U336)</f>
        <v/>
      </c>
      <c r="Y336" s="18" t="n"/>
      <c r="Z336" s="17" t="n"/>
      <c r="AA336" s="18" t="n"/>
      <c r="AB336" s="19" t="n"/>
    </row>
    <row r="337">
      <c r="A337" s="16">
        <f>IF(C337="","",ROW()-1)</f>
        <v/>
      </c>
      <c r="B337" s="17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9" t="n"/>
      <c r="L337" s="19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7" t="n"/>
      <c r="V337" s="18" t="n"/>
      <c r="W337" s="20">
        <f>IF(U337="","",U337+Summary!$C$4)</f>
        <v/>
      </c>
      <c r="X337" s="16">
        <f>IF(OR(U337="",Y337="Removed",Y337="Deindexed only",Y337="No action needed"),"",TODAY()-U337)</f>
        <v/>
      </c>
      <c r="Y337" s="18" t="n"/>
      <c r="Z337" s="17" t="n"/>
      <c r="AA337" s="18" t="n"/>
      <c r="AB337" s="19" t="n"/>
    </row>
    <row r="338">
      <c r="A338" s="16">
        <f>IF(C338="","",ROW()-1)</f>
        <v/>
      </c>
      <c r="B338" s="17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9" t="n"/>
      <c r="L338" s="19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7" t="n"/>
      <c r="V338" s="18" t="n"/>
      <c r="W338" s="20">
        <f>IF(U338="","",U338+Summary!$C$4)</f>
        <v/>
      </c>
      <c r="X338" s="16">
        <f>IF(OR(U338="",Y338="Removed",Y338="Deindexed only",Y338="No action needed"),"",TODAY()-U338)</f>
        <v/>
      </c>
      <c r="Y338" s="18" t="n"/>
      <c r="Z338" s="17" t="n"/>
      <c r="AA338" s="18" t="n"/>
      <c r="AB338" s="19" t="n"/>
    </row>
    <row r="339">
      <c r="A339" s="16">
        <f>IF(C339="","",ROW()-1)</f>
        <v/>
      </c>
      <c r="B339" s="17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9" t="n"/>
      <c r="L339" s="19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7" t="n"/>
      <c r="V339" s="18" t="n"/>
      <c r="W339" s="20">
        <f>IF(U339="","",U339+Summary!$C$4)</f>
        <v/>
      </c>
      <c r="X339" s="16">
        <f>IF(OR(U339="",Y339="Removed",Y339="Deindexed only",Y339="No action needed"),"",TODAY()-U339)</f>
        <v/>
      </c>
      <c r="Y339" s="18" t="n"/>
      <c r="Z339" s="17" t="n"/>
      <c r="AA339" s="18" t="n"/>
      <c r="AB339" s="19" t="n"/>
    </row>
    <row r="340">
      <c r="A340" s="16">
        <f>IF(C340="","",ROW()-1)</f>
        <v/>
      </c>
      <c r="B340" s="17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9" t="n"/>
      <c r="L340" s="19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7" t="n"/>
      <c r="V340" s="18" t="n"/>
      <c r="W340" s="20">
        <f>IF(U340="","",U340+Summary!$C$4)</f>
        <v/>
      </c>
      <c r="X340" s="16">
        <f>IF(OR(U340="",Y340="Removed",Y340="Deindexed only",Y340="No action needed"),"",TODAY()-U340)</f>
        <v/>
      </c>
      <c r="Y340" s="18" t="n"/>
      <c r="Z340" s="17" t="n"/>
      <c r="AA340" s="18" t="n"/>
      <c r="AB340" s="19" t="n"/>
    </row>
    <row r="341">
      <c r="A341" s="16">
        <f>IF(C341="","",ROW()-1)</f>
        <v/>
      </c>
      <c r="B341" s="17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9" t="n"/>
      <c r="L341" s="19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7" t="n"/>
      <c r="V341" s="18" t="n"/>
      <c r="W341" s="20">
        <f>IF(U341="","",U341+Summary!$C$4)</f>
        <v/>
      </c>
      <c r="X341" s="16">
        <f>IF(OR(U341="",Y341="Removed",Y341="Deindexed only",Y341="No action needed"),"",TODAY()-U341)</f>
        <v/>
      </c>
      <c r="Y341" s="18" t="n"/>
      <c r="Z341" s="17" t="n"/>
      <c r="AA341" s="18" t="n"/>
      <c r="AB341" s="19" t="n"/>
    </row>
    <row r="342">
      <c r="A342" s="16">
        <f>IF(C342="","",ROW()-1)</f>
        <v/>
      </c>
      <c r="B342" s="17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9" t="n"/>
      <c r="L342" s="19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7" t="n"/>
      <c r="V342" s="18" t="n"/>
      <c r="W342" s="20">
        <f>IF(U342="","",U342+Summary!$C$4)</f>
        <v/>
      </c>
      <c r="X342" s="16">
        <f>IF(OR(U342="",Y342="Removed",Y342="Deindexed only",Y342="No action needed"),"",TODAY()-U342)</f>
        <v/>
      </c>
      <c r="Y342" s="18" t="n"/>
      <c r="Z342" s="17" t="n"/>
      <c r="AA342" s="18" t="n"/>
      <c r="AB342" s="19" t="n"/>
    </row>
    <row r="343">
      <c r="A343" s="16">
        <f>IF(C343="","",ROW()-1)</f>
        <v/>
      </c>
      <c r="B343" s="17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9" t="n"/>
      <c r="L343" s="19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7" t="n"/>
      <c r="V343" s="18" t="n"/>
      <c r="W343" s="20">
        <f>IF(U343="","",U343+Summary!$C$4)</f>
        <v/>
      </c>
      <c r="X343" s="16">
        <f>IF(OR(U343="",Y343="Removed",Y343="Deindexed only",Y343="No action needed"),"",TODAY()-U343)</f>
        <v/>
      </c>
      <c r="Y343" s="18" t="n"/>
      <c r="Z343" s="17" t="n"/>
      <c r="AA343" s="18" t="n"/>
      <c r="AB343" s="19" t="n"/>
    </row>
    <row r="344">
      <c r="A344" s="16">
        <f>IF(C344="","",ROW()-1)</f>
        <v/>
      </c>
      <c r="B344" s="17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9" t="n"/>
      <c r="L344" s="19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7" t="n"/>
      <c r="V344" s="18" t="n"/>
      <c r="W344" s="20">
        <f>IF(U344="","",U344+Summary!$C$4)</f>
        <v/>
      </c>
      <c r="X344" s="16">
        <f>IF(OR(U344="",Y344="Removed",Y344="Deindexed only",Y344="No action needed"),"",TODAY()-U344)</f>
        <v/>
      </c>
      <c r="Y344" s="18" t="n"/>
      <c r="Z344" s="17" t="n"/>
      <c r="AA344" s="18" t="n"/>
      <c r="AB344" s="19" t="n"/>
    </row>
    <row r="345">
      <c r="A345" s="16">
        <f>IF(C345="","",ROW()-1)</f>
        <v/>
      </c>
      <c r="B345" s="17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9" t="n"/>
      <c r="L345" s="19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7" t="n"/>
      <c r="V345" s="18" t="n"/>
      <c r="W345" s="20">
        <f>IF(U345="","",U345+Summary!$C$4)</f>
        <v/>
      </c>
      <c r="X345" s="16">
        <f>IF(OR(U345="",Y345="Removed",Y345="Deindexed only",Y345="No action needed"),"",TODAY()-U345)</f>
        <v/>
      </c>
      <c r="Y345" s="18" t="n"/>
      <c r="Z345" s="17" t="n"/>
      <c r="AA345" s="18" t="n"/>
      <c r="AB345" s="19" t="n"/>
    </row>
    <row r="346">
      <c r="A346" s="16">
        <f>IF(C346="","",ROW()-1)</f>
        <v/>
      </c>
      <c r="B346" s="17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9" t="n"/>
      <c r="L346" s="19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7" t="n"/>
      <c r="V346" s="18" t="n"/>
      <c r="W346" s="20">
        <f>IF(U346="","",U346+Summary!$C$4)</f>
        <v/>
      </c>
      <c r="X346" s="16">
        <f>IF(OR(U346="",Y346="Removed",Y346="Deindexed only",Y346="No action needed"),"",TODAY()-U346)</f>
        <v/>
      </c>
      <c r="Y346" s="18" t="n"/>
      <c r="Z346" s="17" t="n"/>
      <c r="AA346" s="18" t="n"/>
      <c r="AB346" s="19" t="n"/>
    </row>
    <row r="347">
      <c r="A347" s="16">
        <f>IF(C347="","",ROW()-1)</f>
        <v/>
      </c>
      <c r="B347" s="17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9" t="n"/>
      <c r="L347" s="19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7" t="n"/>
      <c r="V347" s="18" t="n"/>
      <c r="W347" s="20">
        <f>IF(U347="","",U347+Summary!$C$4)</f>
        <v/>
      </c>
      <c r="X347" s="16">
        <f>IF(OR(U347="",Y347="Removed",Y347="Deindexed only",Y347="No action needed"),"",TODAY()-U347)</f>
        <v/>
      </c>
      <c r="Y347" s="18" t="n"/>
      <c r="Z347" s="17" t="n"/>
      <c r="AA347" s="18" t="n"/>
      <c r="AB347" s="19" t="n"/>
    </row>
    <row r="348">
      <c r="A348" s="16">
        <f>IF(C348="","",ROW()-1)</f>
        <v/>
      </c>
      <c r="B348" s="17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9" t="n"/>
      <c r="L348" s="19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7" t="n"/>
      <c r="V348" s="18" t="n"/>
      <c r="W348" s="20">
        <f>IF(U348="","",U348+Summary!$C$4)</f>
        <v/>
      </c>
      <c r="X348" s="16">
        <f>IF(OR(U348="",Y348="Removed",Y348="Deindexed only",Y348="No action needed"),"",TODAY()-U348)</f>
        <v/>
      </c>
      <c r="Y348" s="18" t="n"/>
      <c r="Z348" s="17" t="n"/>
      <c r="AA348" s="18" t="n"/>
      <c r="AB348" s="19" t="n"/>
    </row>
    <row r="349">
      <c r="A349" s="16">
        <f>IF(C349="","",ROW()-1)</f>
        <v/>
      </c>
      <c r="B349" s="17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9" t="n"/>
      <c r="L349" s="19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7" t="n"/>
      <c r="V349" s="18" t="n"/>
      <c r="W349" s="20">
        <f>IF(U349="","",U349+Summary!$C$4)</f>
        <v/>
      </c>
      <c r="X349" s="16">
        <f>IF(OR(U349="",Y349="Removed",Y349="Deindexed only",Y349="No action needed"),"",TODAY()-U349)</f>
        <v/>
      </c>
      <c r="Y349" s="18" t="n"/>
      <c r="Z349" s="17" t="n"/>
      <c r="AA349" s="18" t="n"/>
      <c r="AB349" s="19" t="n"/>
    </row>
    <row r="350">
      <c r="A350" s="16">
        <f>IF(C350="","",ROW()-1)</f>
        <v/>
      </c>
      <c r="B350" s="17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9" t="n"/>
      <c r="L350" s="19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7" t="n"/>
      <c r="V350" s="18" t="n"/>
      <c r="W350" s="20">
        <f>IF(U350="","",U350+Summary!$C$4)</f>
        <v/>
      </c>
      <c r="X350" s="16">
        <f>IF(OR(U350="",Y350="Removed",Y350="Deindexed only",Y350="No action needed"),"",TODAY()-U350)</f>
        <v/>
      </c>
      <c r="Y350" s="18" t="n"/>
      <c r="Z350" s="17" t="n"/>
      <c r="AA350" s="18" t="n"/>
      <c r="AB350" s="19" t="n"/>
    </row>
    <row r="351">
      <c r="A351" s="16">
        <f>IF(C351="","",ROW()-1)</f>
        <v/>
      </c>
      <c r="B351" s="17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9" t="n"/>
      <c r="L351" s="19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7" t="n"/>
      <c r="V351" s="18" t="n"/>
      <c r="W351" s="20">
        <f>IF(U351="","",U351+Summary!$C$4)</f>
        <v/>
      </c>
      <c r="X351" s="16">
        <f>IF(OR(U351="",Y351="Removed",Y351="Deindexed only",Y351="No action needed"),"",TODAY()-U351)</f>
        <v/>
      </c>
      <c r="Y351" s="18" t="n"/>
      <c r="Z351" s="17" t="n"/>
      <c r="AA351" s="18" t="n"/>
      <c r="AB351" s="19" t="n"/>
    </row>
    <row r="352">
      <c r="A352" s="16">
        <f>IF(C352="","",ROW()-1)</f>
        <v/>
      </c>
      <c r="B352" s="17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9" t="n"/>
      <c r="L352" s="19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7" t="n"/>
      <c r="V352" s="18" t="n"/>
      <c r="W352" s="20">
        <f>IF(U352="","",U352+Summary!$C$4)</f>
        <v/>
      </c>
      <c r="X352" s="16">
        <f>IF(OR(U352="",Y352="Removed",Y352="Deindexed only",Y352="No action needed"),"",TODAY()-U352)</f>
        <v/>
      </c>
      <c r="Y352" s="18" t="n"/>
      <c r="Z352" s="17" t="n"/>
      <c r="AA352" s="18" t="n"/>
      <c r="AB352" s="19" t="n"/>
    </row>
    <row r="353">
      <c r="A353" s="16">
        <f>IF(C353="","",ROW()-1)</f>
        <v/>
      </c>
      <c r="B353" s="17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9" t="n"/>
      <c r="L353" s="19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7" t="n"/>
      <c r="V353" s="18" t="n"/>
      <c r="W353" s="20">
        <f>IF(U353="","",U353+Summary!$C$4)</f>
        <v/>
      </c>
      <c r="X353" s="16">
        <f>IF(OR(U353="",Y353="Removed",Y353="Deindexed only",Y353="No action needed"),"",TODAY()-U353)</f>
        <v/>
      </c>
      <c r="Y353" s="18" t="n"/>
      <c r="Z353" s="17" t="n"/>
      <c r="AA353" s="18" t="n"/>
      <c r="AB353" s="19" t="n"/>
    </row>
    <row r="354">
      <c r="A354" s="16">
        <f>IF(C354="","",ROW()-1)</f>
        <v/>
      </c>
      <c r="B354" s="17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9" t="n"/>
      <c r="L354" s="19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7" t="n"/>
      <c r="V354" s="18" t="n"/>
      <c r="W354" s="20">
        <f>IF(U354="","",U354+Summary!$C$4)</f>
        <v/>
      </c>
      <c r="X354" s="16">
        <f>IF(OR(U354="",Y354="Removed",Y354="Deindexed only",Y354="No action needed"),"",TODAY()-U354)</f>
        <v/>
      </c>
      <c r="Y354" s="18" t="n"/>
      <c r="Z354" s="17" t="n"/>
      <c r="AA354" s="18" t="n"/>
      <c r="AB354" s="19" t="n"/>
    </row>
    <row r="355">
      <c r="A355" s="16">
        <f>IF(C355="","",ROW()-1)</f>
        <v/>
      </c>
      <c r="B355" s="17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9" t="n"/>
      <c r="L355" s="19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7" t="n"/>
      <c r="V355" s="18" t="n"/>
      <c r="W355" s="20">
        <f>IF(U355="","",U355+Summary!$C$4)</f>
        <v/>
      </c>
      <c r="X355" s="16">
        <f>IF(OR(U355="",Y355="Removed",Y355="Deindexed only",Y355="No action needed"),"",TODAY()-U355)</f>
        <v/>
      </c>
      <c r="Y355" s="18" t="n"/>
      <c r="Z355" s="17" t="n"/>
      <c r="AA355" s="18" t="n"/>
      <c r="AB355" s="19" t="n"/>
    </row>
    <row r="356">
      <c r="A356" s="16">
        <f>IF(C356="","",ROW()-1)</f>
        <v/>
      </c>
      <c r="B356" s="17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9" t="n"/>
      <c r="L356" s="19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7" t="n"/>
      <c r="V356" s="18" t="n"/>
      <c r="W356" s="20">
        <f>IF(U356="","",U356+Summary!$C$4)</f>
        <v/>
      </c>
      <c r="X356" s="16">
        <f>IF(OR(U356="",Y356="Removed",Y356="Deindexed only",Y356="No action needed"),"",TODAY()-U356)</f>
        <v/>
      </c>
      <c r="Y356" s="18" t="n"/>
      <c r="Z356" s="17" t="n"/>
      <c r="AA356" s="18" t="n"/>
      <c r="AB356" s="19" t="n"/>
    </row>
    <row r="357">
      <c r="A357" s="16">
        <f>IF(C357="","",ROW()-1)</f>
        <v/>
      </c>
      <c r="B357" s="17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9" t="n"/>
      <c r="L357" s="19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7" t="n"/>
      <c r="V357" s="18" t="n"/>
      <c r="W357" s="20">
        <f>IF(U357="","",U357+Summary!$C$4)</f>
        <v/>
      </c>
      <c r="X357" s="16">
        <f>IF(OR(U357="",Y357="Removed",Y357="Deindexed only",Y357="No action needed"),"",TODAY()-U357)</f>
        <v/>
      </c>
      <c r="Y357" s="18" t="n"/>
      <c r="Z357" s="17" t="n"/>
      <c r="AA357" s="18" t="n"/>
      <c r="AB357" s="19" t="n"/>
    </row>
    <row r="358">
      <c r="A358" s="16">
        <f>IF(C358="","",ROW()-1)</f>
        <v/>
      </c>
      <c r="B358" s="17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9" t="n"/>
      <c r="L358" s="19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7" t="n"/>
      <c r="V358" s="18" t="n"/>
      <c r="W358" s="20">
        <f>IF(U358="","",U358+Summary!$C$4)</f>
        <v/>
      </c>
      <c r="X358" s="16">
        <f>IF(OR(U358="",Y358="Removed",Y358="Deindexed only",Y358="No action needed"),"",TODAY()-U358)</f>
        <v/>
      </c>
      <c r="Y358" s="18" t="n"/>
      <c r="Z358" s="17" t="n"/>
      <c r="AA358" s="18" t="n"/>
      <c r="AB358" s="19" t="n"/>
    </row>
    <row r="359">
      <c r="A359" s="16">
        <f>IF(C359="","",ROW()-1)</f>
        <v/>
      </c>
      <c r="B359" s="17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9" t="n"/>
      <c r="L359" s="19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7" t="n"/>
      <c r="V359" s="18" t="n"/>
      <c r="W359" s="20">
        <f>IF(U359="","",U359+Summary!$C$4)</f>
        <v/>
      </c>
      <c r="X359" s="16">
        <f>IF(OR(U359="",Y359="Removed",Y359="Deindexed only",Y359="No action needed"),"",TODAY()-U359)</f>
        <v/>
      </c>
      <c r="Y359" s="18" t="n"/>
      <c r="Z359" s="17" t="n"/>
      <c r="AA359" s="18" t="n"/>
      <c r="AB359" s="19" t="n"/>
    </row>
    <row r="360">
      <c r="A360" s="16">
        <f>IF(C360="","",ROW()-1)</f>
        <v/>
      </c>
      <c r="B360" s="17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9" t="n"/>
      <c r="L360" s="19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7" t="n"/>
      <c r="V360" s="18" t="n"/>
      <c r="W360" s="20">
        <f>IF(U360="","",U360+Summary!$C$4)</f>
        <v/>
      </c>
      <c r="X360" s="16">
        <f>IF(OR(U360="",Y360="Removed",Y360="Deindexed only",Y360="No action needed"),"",TODAY()-U360)</f>
        <v/>
      </c>
      <c r="Y360" s="18" t="n"/>
      <c r="Z360" s="17" t="n"/>
      <c r="AA360" s="18" t="n"/>
      <c r="AB360" s="19" t="n"/>
    </row>
    <row r="361">
      <c r="A361" s="16">
        <f>IF(C361="","",ROW()-1)</f>
        <v/>
      </c>
      <c r="B361" s="17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9" t="n"/>
      <c r="L361" s="19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7" t="n"/>
      <c r="V361" s="18" t="n"/>
      <c r="W361" s="20">
        <f>IF(U361="","",U361+Summary!$C$4)</f>
        <v/>
      </c>
      <c r="X361" s="16">
        <f>IF(OR(U361="",Y361="Removed",Y361="Deindexed only",Y361="No action needed"),"",TODAY()-U361)</f>
        <v/>
      </c>
      <c r="Y361" s="18" t="n"/>
      <c r="Z361" s="17" t="n"/>
      <c r="AA361" s="18" t="n"/>
      <c r="AB361" s="19" t="n"/>
    </row>
    <row r="362">
      <c r="A362" s="16">
        <f>IF(C362="","",ROW()-1)</f>
        <v/>
      </c>
      <c r="B362" s="17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9" t="n"/>
      <c r="L362" s="19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7" t="n"/>
      <c r="V362" s="18" t="n"/>
      <c r="W362" s="20">
        <f>IF(U362="","",U362+Summary!$C$4)</f>
        <v/>
      </c>
      <c r="X362" s="16">
        <f>IF(OR(U362="",Y362="Removed",Y362="Deindexed only",Y362="No action needed"),"",TODAY()-U362)</f>
        <v/>
      </c>
      <c r="Y362" s="18" t="n"/>
      <c r="Z362" s="17" t="n"/>
      <c r="AA362" s="18" t="n"/>
      <c r="AB362" s="19" t="n"/>
    </row>
    <row r="363">
      <c r="A363" s="16">
        <f>IF(C363="","",ROW()-1)</f>
        <v/>
      </c>
      <c r="B363" s="17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9" t="n"/>
      <c r="L363" s="19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7" t="n"/>
      <c r="V363" s="18" t="n"/>
      <c r="W363" s="20">
        <f>IF(U363="","",U363+Summary!$C$4)</f>
        <v/>
      </c>
      <c r="X363" s="16">
        <f>IF(OR(U363="",Y363="Removed",Y363="Deindexed only",Y363="No action needed"),"",TODAY()-U363)</f>
        <v/>
      </c>
      <c r="Y363" s="18" t="n"/>
      <c r="Z363" s="17" t="n"/>
      <c r="AA363" s="18" t="n"/>
      <c r="AB363" s="19" t="n"/>
    </row>
    <row r="364">
      <c r="A364" s="16">
        <f>IF(C364="","",ROW()-1)</f>
        <v/>
      </c>
      <c r="B364" s="17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9" t="n"/>
      <c r="L364" s="19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7" t="n"/>
      <c r="V364" s="18" t="n"/>
      <c r="W364" s="20">
        <f>IF(U364="","",U364+Summary!$C$4)</f>
        <v/>
      </c>
      <c r="X364" s="16">
        <f>IF(OR(U364="",Y364="Removed",Y364="Deindexed only",Y364="No action needed"),"",TODAY()-U364)</f>
        <v/>
      </c>
      <c r="Y364" s="18" t="n"/>
      <c r="Z364" s="17" t="n"/>
      <c r="AA364" s="18" t="n"/>
      <c r="AB364" s="19" t="n"/>
    </row>
    <row r="365">
      <c r="A365" s="16">
        <f>IF(C365="","",ROW()-1)</f>
        <v/>
      </c>
      <c r="B365" s="17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9" t="n"/>
      <c r="L365" s="19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7" t="n"/>
      <c r="V365" s="18" t="n"/>
      <c r="W365" s="20">
        <f>IF(U365="","",U365+Summary!$C$4)</f>
        <v/>
      </c>
      <c r="X365" s="16">
        <f>IF(OR(U365="",Y365="Removed",Y365="Deindexed only",Y365="No action needed"),"",TODAY()-U365)</f>
        <v/>
      </c>
      <c r="Y365" s="18" t="n"/>
      <c r="Z365" s="17" t="n"/>
      <c r="AA365" s="18" t="n"/>
      <c r="AB365" s="19" t="n"/>
    </row>
    <row r="366">
      <c r="A366" s="16">
        <f>IF(C366="","",ROW()-1)</f>
        <v/>
      </c>
      <c r="B366" s="17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9" t="n"/>
      <c r="L366" s="19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7" t="n"/>
      <c r="V366" s="18" t="n"/>
      <c r="W366" s="20">
        <f>IF(U366="","",U366+Summary!$C$4)</f>
        <v/>
      </c>
      <c r="X366" s="16">
        <f>IF(OR(U366="",Y366="Removed",Y366="Deindexed only",Y366="No action needed"),"",TODAY()-U366)</f>
        <v/>
      </c>
      <c r="Y366" s="18" t="n"/>
      <c r="Z366" s="17" t="n"/>
      <c r="AA366" s="18" t="n"/>
      <c r="AB366" s="19" t="n"/>
    </row>
    <row r="367">
      <c r="A367" s="16">
        <f>IF(C367="","",ROW()-1)</f>
        <v/>
      </c>
      <c r="B367" s="17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9" t="n"/>
      <c r="L367" s="19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7" t="n"/>
      <c r="V367" s="18" t="n"/>
      <c r="W367" s="20">
        <f>IF(U367="","",U367+Summary!$C$4)</f>
        <v/>
      </c>
      <c r="X367" s="16">
        <f>IF(OR(U367="",Y367="Removed",Y367="Deindexed only",Y367="No action needed"),"",TODAY()-U367)</f>
        <v/>
      </c>
      <c r="Y367" s="18" t="n"/>
      <c r="Z367" s="17" t="n"/>
      <c r="AA367" s="18" t="n"/>
      <c r="AB367" s="19" t="n"/>
    </row>
    <row r="368">
      <c r="A368" s="16">
        <f>IF(C368="","",ROW()-1)</f>
        <v/>
      </c>
      <c r="B368" s="17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9" t="n"/>
      <c r="L368" s="19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7" t="n"/>
      <c r="V368" s="18" t="n"/>
      <c r="W368" s="20">
        <f>IF(U368="","",U368+Summary!$C$4)</f>
        <v/>
      </c>
      <c r="X368" s="16">
        <f>IF(OR(U368="",Y368="Removed",Y368="Deindexed only",Y368="No action needed"),"",TODAY()-U368)</f>
        <v/>
      </c>
      <c r="Y368" s="18" t="n"/>
      <c r="Z368" s="17" t="n"/>
      <c r="AA368" s="18" t="n"/>
      <c r="AB368" s="19" t="n"/>
    </row>
    <row r="369">
      <c r="A369" s="16">
        <f>IF(C369="","",ROW()-1)</f>
        <v/>
      </c>
      <c r="B369" s="17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9" t="n"/>
      <c r="L369" s="19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7" t="n"/>
      <c r="V369" s="18" t="n"/>
      <c r="W369" s="20">
        <f>IF(U369="","",U369+Summary!$C$4)</f>
        <v/>
      </c>
      <c r="X369" s="16">
        <f>IF(OR(U369="",Y369="Removed",Y369="Deindexed only",Y369="No action needed"),"",TODAY()-U369)</f>
        <v/>
      </c>
      <c r="Y369" s="18" t="n"/>
      <c r="Z369" s="17" t="n"/>
      <c r="AA369" s="18" t="n"/>
      <c r="AB369" s="19" t="n"/>
    </row>
    <row r="370">
      <c r="A370" s="16">
        <f>IF(C370="","",ROW()-1)</f>
        <v/>
      </c>
      <c r="B370" s="17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9" t="n"/>
      <c r="L370" s="19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7" t="n"/>
      <c r="V370" s="18" t="n"/>
      <c r="W370" s="20">
        <f>IF(U370="","",U370+Summary!$C$4)</f>
        <v/>
      </c>
      <c r="X370" s="16">
        <f>IF(OR(U370="",Y370="Removed",Y370="Deindexed only",Y370="No action needed"),"",TODAY()-U370)</f>
        <v/>
      </c>
      <c r="Y370" s="18" t="n"/>
      <c r="Z370" s="17" t="n"/>
      <c r="AA370" s="18" t="n"/>
      <c r="AB370" s="19" t="n"/>
    </row>
    <row r="371">
      <c r="A371" s="16">
        <f>IF(C371="","",ROW()-1)</f>
        <v/>
      </c>
      <c r="B371" s="17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9" t="n"/>
      <c r="L371" s="19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7" t="n"/>
      <c r="V371" s="18" t="n"/>
      <c r="W371" s="20">
        <f>IF(U371="","",U371+Summary!$C$4)</f>
        <v/>
      </c>
      <c r="X371" s="16">
        <f>IF(OR(U371="",Y371="Removed",Y371="Deindexed only",Y371="No action needed"),"",TODAY()-U371)</f>
        <v/>
      </c>
      <c r="Y371" s="18" t="n"/>
      <c r="Z371" s="17" t="n"/>
      <c r="AA371" s="18" t="n"/>
      <c r="AB371" s="19" t="n"/>
    </row>
    <row r="372">
      <c r="A372" s="16">
        <f>IF(C372="","",ROW()-1)</f>
        <v/>
      </c>
      <c r="B372" s="17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9" t="n"/>
      <c r="L372" s="19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7" t="n"/>
      <c r="V372" s="18" t="n"/>
      <c r="W372" s="20">
        <f>IF(U372="","",U372+Summary!$C$4)</f>
        <v/>
      </c>
      <c r="X372" s="16">
        <f>IF(OR(U372="",Y372="Removed",Y372="Deindexed only",Y372="No action needed"),"",TODAY()-U372)</f>
        <v/>
      </c>
      <c r="Y372" s="18" t="n"/>
      <c r="Z372" s="17" t="n"/>
      <c r="AA372" s="18" t="n"/>
      <c r="AB372" s="19" t="n"/>
    </row>
    <row r="373">
      <c r="A373" s="16">
        <f>IF(C373="","",ROW()-1)</f>
        <v/>
      </c>
      <c r="B373" s="17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9" t="n"/>
      <c r="L373" s="19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7" t="n"/>
      <c r="V373" s="18" t="n"/>
      <c r="W373" s="20">
        <f>IF(U373="","",U373+Summary!$C$4)</f>
        <v/>
      </c>
      <c r="X373" s="16">
        <f>IF(OR(U373="",Y373="Removed",Y373="Deindexed only",Y373="No action needed"),"",TODAY()-U373)</f>
        <v/>
      </c>
      <c r="Y373" s="18" t="n"/>
      <c r="Z373" s="17" t="n"/>
      <c r="AA373" s="18" t="n"/>
      <c r="AB373" s="19" t="n"/>
    </row>
    <row r="374">
      <c r="A374" s="16">
        <f>IF(C374="","",ROW()-1)</f>
        <v/>
      </c>
      <c r="B374" s="17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9" t="n"/>
      <c r="L374" s="19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7" t="n"/>
      <c r="V374" s="18" t="n"/>
      <c r="W374" s="20">
        <f>IF(U374="","",U374+Summary!$C$4)</f>
        <v/>
      </c>
      <c r="X374" s="16">
        <f>IF(OR(U374="",Y374="Removed",Y374="Deindexed only",Y374="No action needed"),"",TODAY()-U374)</f>
        <v/>
      </c>
      <c r="Y374" s="18" t="n"/>
      <c r="Z374" s="17" t="n"/>
      <c r="AA374" s="18" t="n"/>
      <c r="AB374" s="19" t="n"/>
    </row>
    <row r="375">
      <c r="A375" s="16">
        <f>IF(C375="","",ROW()-1)</f>
        <v/>
      </c>
      <c r="B375" s="17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9" t="n"/>
      <c r="L375" s="19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7" t="n"/>
      <c r="V375" s="18" t="n"/>
      <c r="W375" s="20">
        <f>IF(U375="","",U375+Summary!$C$4)</f>
        <v/>
      </c>
      <c r="X375" s="16">
        <f>IF(OR(U375="",Y375="Removed",Y375="Deindexed only",Y375="No action needed"),"",TODAY()-U375)</f>
        <v/>
      </c>
      <c r="Y375" s="18" t="n"/>
      <c r="Z375" s="17" t="n"/>
      <c r="AA375" s="18" t="n"/>
      <c r="AB375" s="19" t="n"/>
    </row>
    <row r="376">
      <c r="A376" s="16">
        <f>IF(C376="","",ROW()-1)</f>
        <v/>
      </c>
      <c r="B376" s="17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9" t="n"/>
      <c r="L376" s="19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7" t="n"/>
      <c r="V376" s="18" t="n"/>
      <c r="W376" s="20">
        <f>IF(U376="","",U376+Summary!$C$4)</f>
        <v/>
      </c>
      <c r="X376" s="16">
        <f>IF(OR(U376="",Y376="Removed",Y376="Deindexed only",Y376="No action needed"),"",TODAY()-U376)</f>
        <v/>
      </c>
      <c r="Y376" s="18" t="n"/>
      <c r="Z376" s="17" t="n"/>
      <c r="AA376" s="18" t="n"/>
      <c r="AB376" s="19" t="n"/>
    </row>
    <row r="377">
      <c r="A377" s="16">
        <f>IF(C377="","",ROW()-1)</f>
        <v/>
      </c>
      <c r="B377" s="17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9" t="n"/>
      <c r="L377" s="19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7" t="n"/>
      <c r="V377" s="18" t="n"/>
      <c r="W377" s="20">
        <f>IF(U377="","",U377+Summary!$C$4)</f>
        <v/>
      </c>
      <c r="X377" s="16">
        <f>IF(OR(U377="",Y377="Removed",Y377="Deindexed only",Y377="No action needed"),"",TODAY()-U377)</f>
        <v/>
      </c>
      <c r="Y377" s="18" t="n"/>
      <c r="Z377" s="17" t="n"/>
      <c r="AA377" s="18" t="n"/>
      <c r="AB377" s="19" t="n"/>
    </row>
    <row r="378">
      <c r="A378" s="16">
        <f>IF(C378="","",ROW()-1)</f>
        <v/>
      </c>
      <c r="B378" s="17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9" t="n"/>
      <c r="L378" s="19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7" t="n"/>
      <c r="V378" s="18" t="n"/>
      <c r="W378" s="20">
        <f>IF(U378="","",U378+Summary!$C$4)</f>
        <v/>
      </c>
      <c r="X378" s="16">
        <f>IF(OR(U378="",Y378="Removed",Y378="Deindexed only",Y378="No action needed"),"",TODAY()-U378)</f>
        <v/>
      </c>
      <c r="Y378" s="18" t="n"/>
      <c r="Z378" s="17" t="n"/>
      <c r="AA378" s="18" t="n"/>
      <c r="AB378" s="19" t="n"/>
    </row>
    <row r="379">
      <c r="A379" s="16">
        <f>IF(C379="","",ROW()-1)</f>
        <v/>
      </c>
      <c r="B379" s="17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9" t="n"/>
      <c r="L379" s="19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7" t="n"/>
      <c r="V379" s="18" t="n"/>
      <c r="W379" s="20">
        <f>IF(U379="","",U379+Summary!$C$4)</f>
        <v/>
      </c>
      <c r="X379" s="16">
        <f>IF(OR(U379="",Y379="Removed",Y379="Deindexed only",Y379="No action needed"),"",TODAY()-U379)</f>
        <v/>
      </c>
      <c r="Y379" s="18" t="n"/>
      <c r="Z379" s="17" t="n"/>
      <c r="AA379" s="18" t="n"/>
      <c r="AB379" s="19" t="n"/>
    </row>
    <row r="380">
      <c r="A380" s="16">
        <f>IF(C380="","",ROW()-1)</f>
        <v/>
      </c>
      <c r="B380" s="17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9" t="n"/>
      <c r="L380" s="19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7" t="n"/>
      <c r="V380" s="18" t="n"/>
      <c r="W380" s="20">
        <f>IF(U380="","",U380+Summary!$C$4)</f>
        <v/>
      </c>
      <c r="X380" s="16">
        <f>IF(OR(U380="",Y380="Removed",Y380="Deindexed only",Y380="No action needed"),"",TODAY()-U380)</f>
        <v/>
      </c>
      <c r="Y380" s="18" t="n"/>
      <c r="Z380" s="17" t="n"/>
      <c r="AA380" s="18" t="n"/>
      <c r="AB380" s="19" t="n"/>
    </row>
    <row r="381">
      <c r="A381" s="16">
        <f>IF(C381="","",ROW()-1)</f>
        <v/>
      </c>
      <c r="B381" s="17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9" t="n"/>
      <c r="L381" s="19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7" t="n"/>
      <c r="V381" s="18" t="n"/>
      <c r="W381" s="20">
        <f>IF(U381="","",U381+Summary!$C$4)</f>
        <v/>
      </c>
      <c r="X381" s="16">
        <f>IF(OR(U381="",Y381="Removed",Y381="Deindexed only",Y381="No action needed"),"",TODAY()-U381)</f>
        <v/>
      </c>
      <c r="Y381" s="18" t="n"/>
      <c r="Z381" s="17" t="n"/>
      <c r="AA381" s="18" t="n"/>
      <c r="AB381" s="19" t="n"/>
    </row>
    <row r="382">
      <c r="A382" s="16">
        <f>IF(C382="","",ROW()-1)</f>
        <v/>
      </c>
      <c r="B382" s="17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9" t="n"/>
      <c r="L382" s="19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7" t="n"/>
      <c r="V382" s="18" t="n"/>
      <c r="W382" s="20">
        <f>IF(U382="","",U382+Summary!$C$4)</f>
        <v/>
      </c>
      <c r="X382" s="16">
        <f>IF(OR(U382="",Y382="Removed",Y382="Deindexed only",Y382="No action needed"),"",TODAY()-U382)</f>
        <v/>
      </c>
      <c r="Y382" s="18" t="n"/>
      <c r="Z382" s="17" t="n"/>
      <c r="AA382" s="18" t="n"/>
      <c r="AB382" s="19" t="n"/>
    </row>
    <row r="383">
      <c r="A383" s="16">
        <f>IF(C383="","",ROW()-1)</f>
        <v/>
      </c>
      <c r="B383" s="17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9" t="n"/>
      <c r="L383" s="19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7" t="n"/>
      <c r="V383" s="18" t="n"/>
      <c r="W383" s="20">
        <f>IF(U383="","",U383+Summary!$C$4)</f>
        <v/>
      </c>
      <c r="X383" s="16">
        <f>IF(OR(U383="",Y383="Removed",Y383="Deindexed only",Y383="No action needed"),"",TODAY()-U383)</f>
        <v/>
      </c>
      <c r="Y383" s="18" t="n"/>
      <c r="Z383" s="17" t="n"/>
      <c r="AA383" s="18" t="n"/>
      <c r="AB383" s="19" t="n"/>
    </row>
    <row r="384">
      <c r="A384" s="16">
        <f>IF(C384="","",ROW()-1)</f>
        <v/>
      </c>
      <c r="B384" s="17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9" t="n"/>
      <c r="L384" s="19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7" t="n"/>
      <c r="V384" s="18" t="n"/>
      <c r="W384" s="20">
        <f>IF(U384="","",U384+Summary!$C$4)</f>
        <v/>
      </c>
      <c r="X384" s="16">
        <f>IF(OR(U384="",Y384="Removed",Y384="Deindexed only",Y384="No action needed"),"",TODAY()-U384)</f>
        <v/>
      </c>
      <c r="Y384" s="18" t="n"/>
      <c r="Z384" s="17" t="n"/>
      <c r="AA384" s="18" t="n"/>
      <c r="AB384" s="19" t="n"/>
    </row>
    <row r="385">
      <c r="A385" s="16">
        <f>IF(C385="","",ROW()-1)</f>
        <v/>
      </c>
      <c r="B385" s="17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9" t="n"/>
      <c r="L385" s="19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7" t="n"/>
      <c r="V385" s="18" t="n"/>
      <c r="W385" s="20">
        <f>IF(U385="","",U385+Summary!$C$4)</f>
        <v/>
      </c>
      <c r="X385" s="16">
        <f>IF(OR(U385="",Y385="Removed",Y385="Deindexed only",Y385="No action needed"),"",TODAY()-U385)</f>
        <v/>
      </c>
      <c r="Y385" s="18" t="n"/>
      <c r="Z385" s="17" t="n"/>
      <c r="AA385" s="18" t="n"/>
      <c r="AB385" s="19" t="n"/>
    </row>
    <row r="386">
      <c r="A386" s="16">
        <f>IF(C386="","",ROW()-1)</f>
        <v/>
      </c>
      <c r="B386" s="17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9" t="n"/>
      <c r="L386" s="19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7" t="n"/>
      <c r="V386" s="18" t="n"/>
      <c r="W386" s="20">
        <f>IF(U386="","",U386+Summary!$C$4)</f>
        <v/>
      </c>
      <c r="X386" s="16">
        <f>IF(OR(U386="",Y386="Removed",Y386="Deindexed only",Y386="No action needed"),"",TODAY()-U386)</f>
        <v/>
      </c>
      <c r="Y386" s="18" t="n"/>
      <c r="Z386" s="17" t="n"/>
      <c r="AA386" s="18" t="n"/>
      <c r="AB386" s="19" t="n"/>
    </row>
    <row r="387">
      <c r="A387" s="16">
        <f>IF(C387="","",ROW()-1)</f>
        <v/>
      </c>
      <c r="B387" s="17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9" t="n"/>
      <c r="L387" s="19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7" t="n"/>
      <c r="V387" s="18" t="n"/>
      <c r="W387" s="20">
        <f>IF(U387="","",U387+Summary!$C$4)</f>
        <v/>
      </c>
      <c r="X387" s="16">
        <f>IF(OR(U387="",Y387="Removed",Y387="Deindexed only",Y387="No action needed"),"",TODAY()-U387)</f>
        <v/>
      </c>
      <c r="Y387" s="18" t="n"/>
      <c r="Z387" s="17" t="n"/>
      <c r="AA387" s="18" t="n"/>
      <c r="AB387" s="19" t="n"/>
    </row>
    <row r="388">
      <c r="A388" s="16">
        <f>IF(C388="","",ROW()-1)</f>
        <v/>
      </c>
      <c r="B388" s="17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9" t="n"/>
      <c r="L388" s="19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7" t="n"/>
      <c r="V388" s="18" t="n"/>
      <c r="W388" s="20">
        <f>IF(U388="","",U388+Summary!$C$4)</f>
        <v/>
      </c>
      <c r="X388" s="16">
        <f>IF(OR(U388="",Y388="Removed",Y388="Deindexed only",Y388="No action needed"),"",TODAY()-U388)</f>
        <v/>
      </c>
      <c r="Y388" s="18" t="n"/>
      <c r="Z388" s="17" t="n"/>
      <c r="AA388" s="18" t="n"/>
      <c r="AB388" s="19" t="n"/>
    </row>
    <row r="389">
      <c r="A389" s="16">
        <f>IF(C389="","",ROW()-1)</f>
        <v/>
      </c>
      <c r="B389" s="17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9" t="n"/>
      <c r="L389" s="19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7" t="n"/>
      <c r="V389" s="18" t="n"/>
      <c r="W389" s="20">
        <f>IF(U389="","",U389+Summary!$C$4)</f>
        <v/>
      </c>
      <c r="X389" s="16">
        <f>IF(OR(U389="",Y389="Removed",Y389="Deindexed only",Y389="No action needed"),"",TODAY()-U389)</f>
        <v/>
      </c>
      <c r="Y389" s="18" t="n"/>
      <c r="Z389" s="17" t="n"/>
      <c r="AA389" s="18" t="n"/>
      <c r="AB389" s="19" t="n"/>
    </row>
    <row r="390">
      <c r="A390" s="16">
        <f>IF(C390="","",ROW()-1)</f>
        <v/>
      </c>
      <c r="B390" s="17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9" t="n"/>
      <c r="L390" s="19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7" t="n"/>
      <c r="V390" s="18" t="n"/>
      <c r="W390" s="20">
        <f>IF(U390="","",U390+Summary!$C$4)</f>
        <v/>
      </c>
      <c r="X390" s="16">
        <f>IF(OR(U390="",Y390="Removed",Y390="Deindexed only",Y390="No action needed"),"",TODAY()-U390)</f>
        <v/>
      </c>
      <c r="Y390" s="18" t="n"/>
      <c r="Z390" s="17" t="n"/>
      <c r="AA390" s="18" t="n"/>
      <c r="AB390" s="19" t="n"/>
    </row>
    <row r="391">
      <c r="A391" s="16">
        <f>IF(C391="","",ROW()-1)</f>
        <v/>
      </c>
      <c r="B391" s="17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9" t="n"/>
      <c r="L391" s="19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7" t="n"/>
      <c r="V391" s="18" t="n"/>
      <c r="W391" s="20">
        <f>IF(U391="","",U391+Summary!$C$4)</f>
        <v/>
      </c>
      <c r="X391" s="16">
        <f>IF(OR(U391="",Y391="Removed",Y391="Deindexed only",Y391="No action needed"),"",TODAY()-U391)</f>
        <v/>
      </c>
      <c r="Y391" s="18" t="n"/>
      <c r="Z391" s="17" t="n"/>
      <c r="AA391" s="18" t="n"/>
      <c r="AB391" s="19" t="n"/>
    </row>
    <row r="392">
      <c r="A392" s="16">
        <f>IF(C392="","",ROW()-1)</f>
        <v/>
      </c>
      <c r="B392" s="17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9" t="n"/>
      <c r="L392" s="19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7" t="n"/>
      <c r="V392" s="18" t="n"/>
      <c r="W392" s="20">
        <f>IF(U392="","",U392+Summary!$C$4)</f>
        <v/>
      </c>
      <c r="X392" s="16">
        <f>IF(OR(U392="",Y392="Removed",Y392="Deindexed only",Y392="No action needed"),"",TODAY()-U392)</f>
        <v/>
      </c>
      <c r="Y392" s="18" t="n"/>
      <c r="Z392" s="17" t="n"/>
      <c r="AA392" s="18" t="n"/>
      <c r="AB392" s="19" t="n"/>
    </row>
    <row r="393">
      <c r="A393" s="16">
        <f>IF(C393="","",ROW()-1)</f>
        <v/>
      </c>
      <c r="B393" s="17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9" t="n"/>
      <c r="L393" s="19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7" t="n"/>
      <c r="V393" s="18" t="n"/>
      <c r="W393" s="20">
        <f>IF(U393="","",U393+Summary!$C$4)</f>
        <v/>
      </c>
      <c r="X393" s="16">
        <f>IF(OR(U393="",Y393="Removed",Y393="Deindexed only",Y393="No action needed"),"",TODAY()-U393)</f>
        <v/>
      </c>
      <c r="Y393" s="18" t="n"/>
      <c r="Z393" s="17" t="n"/>
      <c r="AA393" s="18" t="n"/>
      <c r="AB393" s="19" t="n"/>
    </row>
    <row r="394">
      <c r="A394" s="16">
        <f>IF(C394="","",ROW()-1)</f>
        <v/>
      </c>
      <c r="B394" s="17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9" t="n"/>
      <c r="L394" s="19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7" t="n"/>
      <c r="V394" s="18" t="n"/>
      <c r="W394" s="20">
        <f>IF(U394="","",U394+Summary!$C$4)</f>
        <v/>
      </c>
      <c r="X394" s="16">
        <f>IF(OR(U394="",Y394="Removed",Y394="Deindexed only",Y394="No action needed"),"",TODAY()-U394)</f>
        <v/>
      </c>
      <c r="Y394" s="18" t="n"/>
      <c r="Z394" s="17" t="n"/>
      <c r="AA394" s="18" t="n"/>
      <c r="AB394" s="19" t="n"/>
    </row>
    <row r="395">
      <c r="A395" s="16">
        <f>IF(C395="","",ROW()-1)</f>
        <v/>
      </c>
      <c r="B395" s="17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9" t="n"/>
      <c r="L395" s="19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7" t="n"/>
      <c r="V395" s="18" t="n"/>
      <c r="W395" s="20">
        <f>IF(U395="","",U395+Summary!$C$4)</f>
        <v/>
      </c>
      <c r="X395" s="16">
        <f>IF(OR(U395="",Y395="Removed",Y395="Deindexed only",Y395="No action needed"),"",TODAY()-U395)</f>
        <v/>
      </c>
      <c r="Y395" s="18" t="n"/>
      <c r="Z395" s="17" t="n"/>
      <c r="AA395" s="18" t="n"/>
      <c r="AB395" s="19" t="n"/>
    </row>
    <row r="396">
      <c r="A396" s="16">
        <f>IF(C396="","",ROW()-1)</f>
        <v/>
      </c>
      <c r="B396" s="17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9" t="n"/>
      <c r="L396" s="19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7" t="n"/>
      <c r="V396" s="18" t="n"/>
      <c r="W396" s="20">
        <f>IF(U396="","",U396+Summary!$C$4)</f>
        <v/>
      </c>
      <c r="X396" s="16">
        <f>IF(OR(U396="",Y396="Removed",Y396="Deindexed only",Y396="No action needed"),"",TODAY()-U396)</f>
        <v/>
      </c>
      <c r="Y396" s="18" t="n"/>
      <c r="Z396" s="17" t="n"/>
      <c r="AA396" s="18" t="n"/>
      <c r="AB396" s="19" t="n"/>
    </row>
    <row r="397">
      <c r="A397" s="16">
        <f>IF(C397="","",ROW()-1)</f>
        <v/>
      </c>
      <c r="B397" s="17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9" t="n"/>
      <c r="L397" s="19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7" t="n"/>
      <c r="V397" s="18" t="n"/>
      <c r="W397" s="20">
        <f>IF(U397="","",U397+Summary!$C$4)</f>
        <v/>
      </c>
      <c r="X397" s="16">
        <f>IF(OR(U397="",Y397="Removed",Y397="Deindexed only",Y397="No action needed"),"",TODAY()-U397)</f>
        <v/>
      </c>
      <c r="Y397" s="18" t="n"/>
      <c r="Z397" s="17" t="n"/>
      <c r="AA397" s="18" t="n"/>
      <c r="AB397" s="19" t="n"/>
    </row>
    <row r="398">
      <c r="A398" s="16">
        <f>IF(C398="","",ROW()-1)</f>
        <v/>
      </c>
      <c r="B398" s="17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9" t="n"/>
      <c r="L398" s="19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7" t="n"/>
      <c r="V398" s="18" t="n"/>
      <c r="W398" s="20">
        <f>IF(U398="","",U398+Summary!$C$4)</f>
        <v/>
      </c>
      <c r="X398" s="16">
        <f>IF(OR(U398="",Y398="Removed",Y398="Deindexed only",Y398="No action needed"),"",TODAY()-U398)</f>
        <v/>
      </c>
      <c r="Y398" s="18" t="n"/>
      <c r="Z398" s="17" t="n"/>
      <c r="AA398" s="18" t="n"/>
      <c r="AB398" s="19" t="n"/>
    </row>
    <row r="399">
      <c r="A399" s="16">
        <f>IF(C399="","",ROW()-1)</f>
        <v/>
      </c>
      <c r="B399" s="17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9" t="n"/>
      <c r="L399" s="19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7" t="n"/>
      <c r="V399" s="18" t="n"/>
      <c r="W399" s="20">
        <f>IF(U399="","",U399+Summary!$C$4)</f>
        <v/>
      </c>
      <c r="X399" s="16">
        <f>IF(OR(U399="",Y399="Removed",Y399="Deindexed only",Y399="No action needed"),"",TODAY()-U399)</f>
        <v/>
      </c>
      <c r="Y399" s="18" t="n"/>
      <c r="Z399" s="17" t="n"/>
      <c r="AA399" s="18" t="n"/>
      <c r="AB399" s="19" t="n"/>
    </row>
    <row r="400">
      <c r="A400" s="16">
        <f>IF(C400="","",ROW()-1)</f>
        <v/>
      </c>
      <c r="B400" s="17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9" t="n"/>
      <c r="L400" s="19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7" t="n"/>
      <c r="V400" s="18" t="n"/>
      <c r="W400" s="20">
        <f>IF(U400="","",U400+Summary!$C$4)</f>
        <v/>
      </c>
      <c r="X400" s="16">
        <f>IF(OR(U400="",Y400="Removed",Y400="Deindexed only",Y400="No action needed"),"",TODAY()-U400)</f>
        <v/>
      </c>
      <c r="Y400" s="18" t="n"/>
      <c r="Z400" s="17" t="n"/>
      <c r="AA400" s="18" t="n"/>
      <c r="AB400" s="19" t="n"/>
    </row>
    <row r="401">
      <c r="A401" s="16">
        <f>IF(C401="","",ROW()-1)</f>
        <v/>
      </c>
      <c r="B401" s="17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9" t="n"/>
      <c r="L401" s="19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7" t="n"/>
      <c r="V401" s="18" t="n"/>
      <c r="W401" s="20">
        <f>IF(U401="","",U401+Summary!$C$4)</f>
        <v/>
      </c>
      <c r="X401" s="16">
        <f>IF(OR(U401="",Y401="Removed",Y401="Deindexed only",Y401="No action needed"),"",TODAY()-U401)</f>
        <v/>
      </c>
      <c r="Y401" s="18" t="n"/>
      <c r="Z401" s="17" t="n"/>
      <c r="AA401" s="18" t="n"/>
      <c r="AB401" s="19" t="n"/>
    </row>
    <row r="402">
      <c r="A402" s="16">
        <f>IF(C402="","",ROW()-1)</f>
        <v/>
      </c>
      <c r="B402" s="17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9" t="n"/>
      <c r="L402" s="19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7" t="n"/>
      <c r="V402" s="18" t="n"/>
      <c r="W402" s="20">
        <f>IF(U402="","",U402+Summary!$C$4)</f>
        <v/>
      </c>
      <c r="X402" s="16">
        <f>IF(OR(U402="",Y402="Removed",Y402="Deindexed only",Y402="No action needed"),"",TODAY()-U402)</f>
        <v/>
      </c>
      <c r="Y402" s="18" t="n"/>
      <c r="Z402" s="17" t="n"/>
      <c r="AA402" s="18" t="n"/>
      <c r="AB402" s="19" t="n"/>
    </row>
    <row r="403">
      <c r="A403" s="16">
        <f>IF(C403="","",ROW()-1)</f>
        <v/>
      </c>
      <c r="B403" s="17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9" t="n"/>
      <c r="L403" s="19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7" t="n"/>
      <c r="V403" s="18" t="n"/>
      <c r="W403" s="20">
        <f>IF(U403="","",U403+Summary!$C$4)</f>
        <v/>
      </c>
      <c r="X403" s="16">
        <f>IF(OR(U403="",Y403="Removed",Y403="Deindexed only",Y403="No action needed"),"",TODAY()-U403)</f>
        <v/>
      </c>
      <c r="Y403" s="18" t="n"/>
      <c r="Z403" s="17" t="n"/>
      <c r="AA403" s="18" t="n"/>
      <c r="AB403" s="19" t="n"/>
    </row>
    <row r="404">
      <c r="A404" s="16">
        <f>IF(C404="","",ROW()-1)</f>
        <v/>
      </c>
      <c r="B404" s="17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9" t="n"/>
      <c r="L404" s="19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7" t="n"/>
      <c r="V404" s="18" t="n"/>
      <c r="W404" s="20">
        <f>IF(U404="","",U404+Summary!$C$4)</f>
        <v/>
      </c>
      <c r="X404" s="16">
        <f>IF(OR(U404="",Y404="Removed",Y404="Deindexed only",Y404="No action needed"),"",TODAY()-U404)</f>
        <v/>
      </c>
      <c r="Y404" s="18" t="n"/>
      <c r="Z404" s="17" t="n"/>
      <c r="AA404" s="18" t="n"/>
      <c r="AB404" s="19" t="n"/>
    </row>
    <row r="405">
      <c r="A405" s="16">
        <f>IF(C405="","",ROW()-1)</f>
        <v/>
      </c>
      <c r="B405" s="17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9" t="n"/>
      <c r="L405" s="19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7" t="n"/>
      <c r="V405" s="18" t="n"/>
      <c r="W405" s="20">
        <f>IF(U405="","",U405+Summary!$C$4)</f>
        <v/>
      </c>
      <c r="X405" s="16">
        <f>IF(OR(U405="",Y405="Removed",Y405="Deindexed only",Y405="No action needed"),"",TODAY()-U405)</f>
        <v/>
      </c>
      <c r="Y405" s="18" t="n"/>
      <c r="Z405" s="17" t="n"/>
      <c r="AA405" s="18" t="n"/>
      <c r="AB405" s="19" t="n"/>
    </row>
    <row r="406">
      <c r="A406" s="16">
        <f>IF(C406="","",ROW()-1)</f>
        <v/>
      </c>
      <c r="B406" s="17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9" t="n"/>
      <c r="L406" s="19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7" t="n"/>
      <c r="V406" s="18" t="n"/>
      <c r="W406" s="20">
        <f>IF(U406="","",U406+Summary!$C$4)</f>
        <v/>
      </c>
      <c r="X406" s="16">
        <f>IF(OR(U406="",Y406="Removed",Y406="Deindexed only",Y406="No action needed"),"",TODAY()-U406)</f>
        <v/>
      </c>
      <c r="Y406" s="18" t="n"/>
      <c r="Z406" s="17" t="n"/>
      <c r="AA406" s="18" t="n"/>
      <c r="AB406" s="19" t="n"/>
    </row>
    <row r="407">
      <c r="A407" s="16">
        <f>IF(C407="","",ROW()-1)</f>
        <v/>
      </c>
      <c r="B407" s="17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9" t="n"/>
      <c r="L407" s="19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7" t="n"/>
      <c r="V407" s="18" t="n"/>
      <c r="W407" s="20">
        <f>IF(U407="","",U407+Summary!$C$4)</f>
        <v/>
      </c>
      <c r="X407" s="16">
        <f>IF(OR(U407="",Y407="Removed",Y407="Deindexed only",Y407="No action needed"),"",TODAY()-U407)</f>
        <v/>
      </c>
      <c r="Y407" s="18" t="n"/>
      <c r="Z407" s="17" t="n"/>
      <c r="AA407" s="18" t="n"/>
      <c r="AB407" s="19" t="n"/>
    </row>
    <row r="408">
      <c r="A408" s="16">
        <f>IF(C408="","",ROW()-1)</f>
        <v/>
      </c>
      <c r="B408" s="17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9" t="n"/>
      <c r="L408" s="19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7" t="n"/>
      <c r="V408" s="18" t="n"/>
      <c r="W408" s="20">
        <f>IF(U408="","",U408+Summary!$C$4)</f>
        <v/>
      </c>
      <c r="X408" s="16">
        <f>IF(OR(U408="",Y408="Removed",Y408="Deindexed only",Y408="No action needed"),"",TODAY()-U408)</f>
        <v/>
      </c>
      <c r="Y408" s="18" t="n"/>
      <c r="Z408" s="17" t="n"/>
      <c r="AA408" s="18" t="n"/>
      <c r="AB408" s="19" t="n"/>
    </row>
    <row r="409">
      <c r="A409" s="16">
        <f>IF(C409="","",ROW()-1)</f>
        <v/>
      </c>
      <c r="B409" s="17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9" t="n"/>
      <c r="L409" s="19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7" t="n"/>
      <c r="V409" s="18" t="n"/>
      <c r="W409" s="20">
        <f>IF(U409="","",U409+Summary!$C$4)</f>
        <v/>
      </c>
      <c r="X409" s="16">
        <f>IF(OR(U409="",Y409="Removed",Y409="Deindexed only",Y409="No action needed"),"",TODAY()-U409)</f>
        <v/>
      </c>
      <c r="Y409" s="18" t="n"/>
      <c r="Z409" s="17" t="n"/>
      <c r="AA409" s="18" t="n"/>
      <c r="AB409" s="19" t="n"/>
    </row>
    <row r="410">
      <c r="A410" s="16">
        <f>IF(C410="","",ROW()-1)</f>
        <v/>
      </c>
      <c r="B410" s="17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9" t="n"/>
      <c r="L410" s="19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7" t="n"/>
      <c r="V410" s="18" t="n"/>
      <c r="W410" s="20">
        <f>IF(U410="","",U410+Summary!$C$4)</f>
        <v/>
      </c>
      <c r="X410" s="16">
        <f>IF(OR(U410="",Y410="Removed",Y410="Deindexed only",Y410="No action needed"),"",TODAY()-U410)</f>
        <v/>
      </c>
      <c r="Y410" s="18" t="n"/>
      <c r="Z410" s="17" t="n"/>
      <c r="AA410" s="18" t="n"/>
      <c r="AB410" s="19" t="n"/>
    </row>
    <row r="411">
      <c r="A411" s="16">
        <f>IF(C411="","",ROW()-1)</f>
        <v/>
      </c>
      <c r="B411" s="17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9" t="n"/>
      <c r="L411" s="19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7" t="n"/>
      <c r="V411" s="18" t="n"/>
      <c r="W411" s="20">
        <f>IF(U411="","",U411+Summary!$C$4)</f>
        <v/>
      </c>
      <c r="X411" s="16">
        <f>IF(OR(U411="",Y411="Removed",Y411="Deindexed only",Y411="No action needed"),"",TODAY()-U411)</f>
        <v/>
      </c>
      <c r="Y411" s="18" t="n"/>
      <c r="Z411" s="17" t="n"/>
      <c r="AA411" s="18" t="n"/>
      <c r="AB411" s="19" t="n"/>
    </row>
    <row r="412">
      <c r="A412" s="16">
        <f>IF(C412="","",ROW()-1)</f>
        <v/>
      </c>
      <c r="B412" s="17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9" t="n"/>
      <c r="L412" s="19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7" t="n"/>
      <c r="V412" s="18" t="n"/>
      <c r="W412" s="20">
        <f>IF(U412="","",U412+Summary!$C$4)</f>
        <v/>
      </c>
      <c r="X412" s="16">
        <f>IF(OR(U412="",Y412="Removed",Y412="Deindexed only",Y412="No action needed"),"",TODAY()-U412)</f>
        <v/>
      </c>
      <c r="Y412" s="18" t="n"/>
      <c r="Z412" s="17" t="n"/>
      <c r="AA412" s="18" t="n"/>
      <c r="AB412" s="19" t="n"/>
    </row>
    <row r="413">
      <c r="A413" s="16">
        <f>IF(C413="","",ROW()-1)</f>
        <v/>
      </c>
      <c r="B413" s="17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9" t="n"/>
      <c r="L413" s="19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7" t="n"/>
      <c r="V413" s="18" t="n"/>
      <c r="W413" s="20">
        <f>IF(U413="","",U413+Summary!$C$4)</f>
        <v/>
      </c>
      <c r="X413" s="16">
        <f>IF(OR(U413="",Y413="Removed",Y413="Deindexed only",Y413="No action needed"),"",TODAY()-U413)</f>
        <v/>
      </c>
      <c r="Y413" s="18" t="n"/>
      <c r="Z413" s="17" t="n"/>
      <c r="AA413" s="18" t="n"/>
      <c r="AB413" s="19" t="n"/>
    </row>
    <row r="414">
      <c r="A414" s="16">
        <f>IF(C414="","",ROW()-1)</f>
        <v/>
      </c>
      <c r="B414" s="17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9" t="n"/>
      <c r="L414" s="19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7" t="n"/>
      <c r="V414" s="18" t="n"/>
      <c r="W414" s="20">
        <f>IF(U414="","",U414+Summary!$C$4)</f>
        <v/>
      </c>
      <c r="X414" s="16">
        <f>IF(OR(U414="",Y414="Removed",Y414="Deindexed only",Y414="No action needed"),"",TODAY()-U414)</f>
        <v/>
      </c>
      <c r="Y414" s="18" t="n"/>
      <c r="Z414" s="17" t="n"/>
      <c r="AA414" s="18" t="n"/>
      <c r="AB414" s="19" t="n"/>
    </row>
    <row r="415">
      <c r="A415" s="16">
        <f>IF(C415="","",ROW()-1)</f>
        <v/>
      </c>
      <c r="B415" s="17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9" t="n"/>
      <c r="L415" s="19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7" t="n"/>
      <c r="V415" s="18" t="n"/>
      <c r="W415" s="20">
        <f>IF(U415="","",U415+Summary!$C$4)</f>
        <v/>
      </c>
      <c r="X415" s="16">
        <f>IF(OR(U415="",Y415="Removed",Y415="Deindexed only",Y415="No action needed"),"",TODAY()-U415)</f>
        <v/>
      </c>
      <c r="Y415" s="18" t="n"/>
      <c r="Z415" s="17" t="n"/>
      <c r="AA415" s="18" t="n"/>
      <c r="AB415" s="19" t="n"/>
    </row>
    <row r="416">
      <c r="A416" s="16">
        <f>IF(C416="","",ROW()-1)</f>
        <v/>
      </c>
      <c r="B416" s="17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9" t="n"/>
      <c r="L416" s="19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7" t="n"/>
      <c r="V416" s="18" t="n"/>
      <c r="W416" s="20">
        <f>IF(U416="","",U416+Summary!$C$4)</f>
        <v/>
      </c>
      <c r="X416" s="16">
        <f>IF(OR(U416="",Y416="Removed",Y416="Deindexed only",Y416="No action needed"),"",TODAY()-U416)</f>
        <v/>
      </c>
      <c r="Y416" s="18" t="n"/>
      <c r="Z416" s="17" t="n"/>
      <c r="AA416" s="18" t="n"/>
      <c r="AB416" s="19" t="n"/>
    </row>
    <row r="417">
      <c r="A417" s="16">
        <f>IF(C417="","",ROW()-1)</f>
        <v/>
      </c>
      <c r="B417" s="17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9" t="n"/>
      <c r="L417" s="19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7" t="n"/>
      <c r="V417" s="18" t="n"/>
      <c r="W417" s="20">
        <f>IF(U417="","",U417+Summary!$C$4)</f>
        <v/>
      </c>
      <c r="X417" s="16">
        <f>IF(OR(U417="",Y417="Removed",Y417="Deindexed only",Y417="No action needed"),"",TODAY()-U417)</f>
        <v/>
      </c>
      <c r="Y417" s="18" t="n"/>
      <c r="Z417" s="17" t="n"/>
      <c r="AA417" s="18" t="n"/>
      <c r="AB417" s="19" t="n"/>
    </row>
    <row r="418">
      <c r="A418" s="16">
        <f>IF(C418="","",ROW()-1)</f>
        <v/>
      </c>
      <c r="B418" s="17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9" t="n"/>
      <c r="L418" s="19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7" t="n"/>
      <c r="V418" s="18" t="n"/>
      <c r="W418" s="20">
        <f>IF(U418="","",U418+Summary!$C$4)</f>
        <v/>
      </c>
      <c r="X418" s="16">
        <f>IF(OR(U418="",Y418="Removed",Y418="Deindexed only",Y418="No action needed"),"",TODAY()-U418)</f>
        <v/>
      </c>
      <c r="Y418" s="18" t="n"/>
      <c r="Z418" s="17" t="n"/>
      <c r="AA418" s="18" t="n"/>
      <c r="AB418" s="19" t="n"/>
    </row>
    <row r="419">
      <c r="A419" s="16">
        <f>IF(C419="","",ROW()-1)</f>
        <v/>
      </c>
      <c r="B419" s="17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9" t="n"/>
      <c r="L419" s="19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7" t="n"/>
      <c r="V419" s="18" t="n"/>
      <c r="W419" s="20">
        <f>IF(U419="","",U419+Summary!$C$4)</f>
        <v/>
      </c>
      <c r="X419" s="16">
        <f>IF(OR(U419="",Y419="Removed",Y419="Deindexed only",Y419="No action needed"),"",TODAY()-U419)</f>
        <v/>
      </c>
      <c r="Y419" s="18" t="n"/>
      <c r="Z419" s="17" t="n"/>
      <c r="AA419" s="18" t="n"/>
      <c r="AB419" s="19" t="n"/>
    </row>
    <row r="420">
      <c r="A420" s="16">
        <f>IF(C420="","",ROW()-1)</f>
        <v/>
      </c>
      <c r="B420" s="17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9" t="n"/>
      <c r="L420" s="19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7" t="n"/>
      <c r="V420" s="18" t="n"/>
      <c r="W420" s="20">
        <f>IF(U420="","",U420+Summary!$C$4)</f>
        <v/>
      </c>
      <c r="X420" s="16">
        <f>IF(OR(U420="",Y420="Removed",Y420="Deindexed only",Y420="No action needed"),"",TODAY()-U420)</f>
        <v/>
      </c>
      <c r="Y420" s="18" t="n"/>
      <c r="Z420" s="17" t="n"/>
      <c r="AA420" s="18" t="n"/>
      <c r="AB420" s="19" t="n"/>
    </row>
    <row r="421">
      <c r="A421" s="16">
        <f>IF(C421="","",ROW()-1)</f>
        <v/>
      </c>
      <c r="B421" s="17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9" t="n"/>
      <c r="L421" s="19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7" t="n"/>
      <c r="V421" s="18" t="n"/>
      <c r="W421" s="20">
        <f>IF(U421="","",U421+Summary!$C$4)</f>
        <v/>
      </c>
      <c r="X421" s="16">
        <f>IF(OR(U421="",Y421="Removed",Y421="Deindexed only",Y421="No action needed"),"",TODAY()-U421)</f>
        <v/>
      </c>
      <c r="Y421" s="18" t="n"/>
      <c r="Z421" s="17" t="n"/>
      <c r="AA421" s="18" t="n"/>
      <c r="AB421" s="19" t="n"/>
    </row>
    <row r="422">
      <c r="A422" s="16">
        <f>IF(C422="","",ROW()-1)</f>
        <v/>
      </c>
      <c r="B422" s="17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9" t="n"/>
      <c r="L422" s="19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7" t="n"/>
      <c r="V422" s="18" t="n"/>
      <c r="W422" s="20">
        <f>IF(U422="","",U422+Summary!$C$4)</f>
        <v/>
      </c>
      <c r="X422" s="16">
        <f>IF(OR(U422="",Y422="Removed",Y422="Deindexed only",Y422="No action needed"),"",TODAY()-U422)</f>
        <v/>
      </c>
      <c r="Y422" s="18" t="n"/>
      <c r="Z422" s="17" t="n"/>
      <c r="AA422" s="18" t="n"/>
      <c r="AB422" s="19" t="n"/>
    </row>
    <row r="423">
      <c r="A423" s="16">
        <f>IF(C423="","",ROW()-1)</f>
        <v/>
      </c>
      <c r="B423" s="17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9" t="n"/>
      <c r="L423" s="19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7" t="n"/>
      <c r="V423" s="18" t="n"/>
      <c r="W423" s="20">
        <f>IF(U423="","",U423+Summary!$C$4)</f>
        <v/>
      </c>
      <c r="X423" s="16">
        <f>IF(OR(U423="",Y423="Removed",Y423="Deindexed only",Y423="No action needed"),"",TODAY()-U423)</f>
        <v/>
      </c>
      <c r="Y423" s="18" t="n"/>
      <c r="Z423" s="17" t="n"/>
      <c r="AA423" s="18" t="n"/>
      <c r="AB423" s="19" t="n"/>
    </row>
    <row r="424">
      <c r="A424" s="16">
        <f>IF(C424="","",ROW()-1)</f>
        <v/>
      </c>
      <c r="B424" s="17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9" t="n"/>
      <c r="L424" s="19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7" t="n"/>
      <c r="V424" s="18" t="n"/>
      <c r="W424" s="20">
        <f>IF(U424="","",U424+Summary!$C$4)</f>
        <v/>
      </c>
      <c r="X424" s="16">
        <f>IF(OR(U424="",Y424="Removed",Y424="Deindexed only",Y424="No action needed"),"",TODAY()-U424)</f>
        <v/>
      </c>
      <c r="Y424" s="18" t="n"/>
      <c r="Z424" s="17" t="n"/>
      <c r="AA424" s="18" t="n"/>
      <c r="AB424" s="19" t="n"/>
    </row>
    <row r="425">
      <c r="A425" s="16">
        <f>IF(C425="","",ROW()-1)</f>
        <v/>
      </c>
      <c r="B425" s="17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9" t="n"/>
      <c r="L425" s="19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7" t="n"/>
      <c r="V425" s="18" t="n"/>
      <c r="W425" s="20">
        <f>IF(U425="","",U425+Summary!$C$4)</f>
        <v/>
      </c>
      <c r="X425" s="16">
        <f>IF(OR(U425="",Y425="Removed",Y425="Deindexed only",Y425="No action needed"),"",TODAY()-U425)</f>
        <v/>
      </c>
      <c r="Y425" s="18" t="n"/>
      <c r="Z425" s="17" t="n"/>
      <c r="AA425" s="18" t="n"/>
      <c r="AB425" s="19" t="n"/>
    </row>
    <row r="426">
      <c r="A426" s="16">
        <f>IF(C426="","",ROW()-1)</f>
        <v/>
      </c>
      <c r="B426" s="17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9" t="n"/>
      <c r="L426" s="19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7" t="n"/>
      <c r="V426" s="18" t="n"/>
      <c r="W426" s="20">
        <f>IF(U426="","",U426+Summary!$C$4)</f>
        <v/>
      </c>
      <c r="X426" s="16">
        <f>IF(OR(U426="",Y426="Removed",Y426="Deindexed only",Y426="No action needed"),"",TODAY()-U426)</f>
        <v/>
      </c>
      <c r="Y426" s="18" t="n"/>
      <c r="Z426" s="17" t="n"/>
      <c r="AA426" s="18" t="n"/>
      <c r="AB426" s="19" t="n"/>
    </row>
    <row r="427">
      <c r="A427" s="16">
        <f>IF(C427="","",ROW()-1)</f>
        <v/>
      </c>
      <c r="B427" s="17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9" t="n"/>
      <c r="L427" s="19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7" t="n"/>
      <c r="V427" s="18" t="n"/>
      <c r="W427" s="20">
        <f>IF(U427="","",U427+Summary!$C$4)</f>
        <v/>
      </c>
      <c r="X427" s="16">
        <f>IF(OR(U427="",Y427="Removed",Y427="Deindexed only",Y427="No action needed"),"",TODAY()-U427)</f>
        <v/>
      </c>
      <c r="Y427" s="18" t="n"/>
      <c r="Z427" s="17" t="n"/>
      <c r="AA427" s="18" t="n"/>
      <c r="AB427" s="19" t="n"/>
    </row>
    <row r="428">
      <c r="A428" s="16">
        <f>IF(C428="","",ROW()-1)</f>
        <v/>
      </c>
      <c r="B428" s="17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9" t="n"/>
      <c r="L428" s="19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7" t="n"/>
      <c r="V428" s="18" t="n"/>
      <c r="W428" s="20">
        <f>IF(U428="","",U428+Summary!$C$4)</f>
        <v/>
      </c>
      <c r="X428" s="16">
        <f>IF(OR(U428="",Y428="Removed",Y428="Deindexed only",Y428="No action needed"),"",TODAY()-U428)</f>
        <v/>
      </c>
      <c r="Y428" s="18" t="n"/>
      <c r="Z428" s="17" t="n"/>
      <c r="AA428" s="18" t="n"/>
      <c r="AB428" s="19" t="n"/>
    </row>
    <row r="429">
      <c r="A429" s="16">
        <f>IF(C429="","",ROW()-1)</f>
        <v/>
      </c>
      <c r="B429" s="17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9" t="n"/>
      <c r="L429" s="19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7" t="n"/>
      <c r="V429" s="18" t="n"/>
      <c r="W429" s="20">
        <f>IF(U429="","",U429+Summary!$C$4)</f>
        <v/>
      </c>
      <c r="X429" s="16">
        <f>IF(OR(U429="",Y429="Removed",Y429="Deindexed only",Y429="No action needed"),"",TODAY()-U429)</f>
        <v/>
      </c>
      <c r="Y429" s="18" t="n"/>
      <c r="Z429" s="17" t="n"/>
      <c r="AA429" s="18" t="n"/>
      <c r="AB429" s="19" t="n"/>
    </row>
    <row r="430">
      <c r="A430" s="16">
        <f>IF(C430="","",ROW()-1)</f>
        <v/>
      </c>
      <c r="B430" s="17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9" t="n"/>
      <c r="L430" s="19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7" t="n"/>
      <c r="V430" s="18" t="n"/>
      <c r="W430" s="20">
        <f>IF(U430="","",U430+Summary!$C$4)</f>
        <v/>
      </c>
      <c r="X430" s="16">
        <f>IF(OR(U430="",Y430="Removed",Y430="Deindexed only",Y430="No action needed"),"",TODAY()-U430)</f>
        <v/>
      </c>
      <c r="Y430" s="18" t="n"/>
      <c r="Z430" s="17" t="n"/>
      <c r="AA430" s="18" t="n"/>
      <c r="AB430" s="19" t="n"/>
    </row>
    <row r="431">
      <c r="A431" s="16">
        <f>IF(C431="","",ROW()-1)</f>
        <v/>
      </c>
      <c r="B431" s="17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9" t="n"/>
      <c r="L431" s="19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7" t="n"/>
      <c r="V431" s="18" t="n"/>
      <c r="W431" s="20">
        <f>IF(U431="","",U431+Summary!$C$4)</f>
        <v/>
      </c>
      <c r="X431" s="16">
        <f>IF(OR(U431="",Y431="Removed",Y431="Deindexed only",Y431="No action needed"),"",TODAY()-U431)</f>
        <v/>
      </c>
      <c r="Y431" s="18" t="n"/>
      <c r="Z431" s="17" t="n"/>
      <c r="AA431" s="18" t="n"/>
      <c r="AB431" s="19" t="n"/>
    </row>
    <row r="432">
      <c r="A432" s="16">
        <f>IF(C432="","",ROW()-1)</f>
        <v/>
      </c>
      <c r="B432" s="17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9" t="n"/>
      <c r="L432" s="19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7" t="n"/>
      <c r="V432" s="18" t="n"/>
      <c r="W432" s="20">
        <f>IF(U432="","",U432+Summary!$C$4)</f>
        <v/>
      </c>
      <c r="X432" s="16">
        <f>IF(OR(U432="",Y432="Removed",Y432="Deindexed only",Y432="No action needed"),"",TODAY()-U432)</f>
        <v/>
      </c>
      <c r="Y432" s="18" t="n"/>
      <c r="Z432" s="17" t="n"/>
      <c r="AA432" s="18" t="n"/>
      <c r="AB432" s="19" t="n"/>
    </row>
    <row r="433">
      <c r="A433" s="16">
        <f>IF(C433="","",ROW()-1)</f>
        <v/>
      </c>
      <c r="B433" s="17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9" t="n"/>
      <c r="L433" s="19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7" t="n"/>
      <c r="V433" s="18" t="n"/>
      <c r="W433" s="20">
        <f>IF(U433="","",U433+Summary!$C$4)</f>
        <v/>
      </c>
      <c r="X433" s="16">
        <f>IF(OR(U433="",Y433="Removed",Y433="Deindexed only",Y433="No action needed"),"",TODAY()-U433)</f>
        <v/>
      </c>
      <c r="Y433" s="18" t="n"/>
      <c r="Z433" s="17" t="n"/>
      <c r="AA433" s="18" t="n"/>
      <c r="AB433" s="19" t="n"/>
    </row>
    <row r="434">
      <c r="A434" s="16">
        <f>IF(C434="","",ROW()-1)</f>
        <v/>
      </c>
      <c r="B434" s="17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9" t="n"/>
      <c r="L434" s="19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7" t="n"/>
      <c r="V434" s="18" t="n"/>
      <c r="W434" s="20">
        <f>IF(U434="","",U434+Summary!$C$4)</f>
        <v/>
      </c>
      <c r="X434" s="16">
        <f>IF(OR(U434="",Y434="Removed",Y434="Deindexed only",Y434="No action needed"),"",TODAY()-U434)</f>
        <v/>
      </c>
      <c r="Y434" s="18" t="n"/>
      <c r="Z434" s="17" t="n"/>
      <c r="AA434" s="18" t="n"/>
      <c r="AB434" s="19" t="n"/>
    </row>
    <row r="435">
      <c r="A435" s="16">
        <f>IF(C435="","",ROW()-1)</f>
        <v/>
      </c>
      <c r="B435" s="17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9" t="n"/>
      <c r="L435" s="19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7" t="n"/>
      <c r="V435" s="18" t="n"/>
      <c r="W435" s="20">
        <f>IF(U435="","",U435+Summary!$C$4)</f>
        <v/>
      </c>
      <c r="X435" s="16">
        <f>IF(OR(U435="",Y435="Removed",Y435="Deindexed only",Y435="No action needed"),"",TODAY()-U435)</f>
        <v/>
      </c>
      <c r="Y435" s="18" t="n"/>
      <c r="Z435" s="17" t="n"/>
      <c r="AA435" s="18" t="n"/>
      <c r="AB435" s="19" t="n"/>
    </row>
    <row r="436">
      <c r="A436" s="16">
        <f>IF(C436="","",ROW()-1)</f>
        <v/>
      </c>
      <c r="B436" s="17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9" t="n"/>
      <c r="L436" s="19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7" t="n"/>
      <c r="V436" s="18" t="n"/>
      <c r="W436" s="20">
        <f>IF(U436="","",U436+Summary!$C$4)</f>
        <v/>
      </c>
      <c r="X436" s="16">
        <f>IF(OR(U436="",Y436="Removed",Y436="Deindexed only",Y436="No action needed"),"",TODAY()-U436)</f>
        <v/>
      </c>
      <c r="Y436" s="18" t="n"/>
      <c r="Z436" s="17" t="n"/>
      <c r="AA436" s="18" t="n"/>
      <c r="AB436" s="19" t="n"/>
    </row>
    <row r="437">
      <c r="A437" s="16">
        <f>IF(C437="","",ROW()-1)</f>
        <v/>
      </c>
      <c r="B437" s="17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9" t="n"/>
      <c r="L437" s="19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7" t="n"/>
      <c r="V437" s="18" t="n"/>
      <c r="W437" s="20">
        <f>IF(U437="","",U437+Summary!$C$4)</f>
        <v/>
      </c>
      <c r="X437" s="16">
        <f>IF(OR(U437="",Y437="Removed",Y437="Deindexed only",Y437="No action needed"),"",TODAY()-U437)</f>
        <v/>
      </c>
      <c r="Y437" s="18" t="n"/>
      <c r="Z437" s="17" t="n"/>
      <c r="AA437" s="18" t="n"/>
      <c r="AB437" s="19" t="n"/>
    </row>
    <row r="438">
      <c r="A438" s="16">
        <f>IF(C438="","",ROW()-1)</f>
        <v/>
      </c>
      <c r="B438" s="17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9" t="n"/>
      <c r="L438" s="19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7" t="n"/>
      <c r="V438" s="18" t="n"/>
      <c r="W438" s="20">
        <f>IF(U438="","",U438+Summary!$C$4)</f>
        <v/>
      </c>
      <c r="X438" s="16">
        <f>IF(OR(U438="",Y438="Removed",Y438="Deindexed only",Y438="No action needed"),"",TODAY()-U438)</f>
        <v/>
      </c>
      <c r="Y438" s="18" t="n"/>
      <c r="Z438" s="17" t="n"/>
      <c r="AA438" s="18" t="n"/>
      <c r="AB438" s="19" t="n"/>
    </row>
    <row r="439">
      <c r="A439" s="16">
        <f>IF(C439="","",ROW()-1)</f>
        <v/>
      </c>
      <c r="B439" s="17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9" t="n"/>
      <c r="L439" s="19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7" t="n"/>
      <c r="V439" s="18" t="n"/>
      <c r="W439" s="20">
        <f>IF(U439="","",U439+Summary!$C$4)</f>
        <v/>
      </c>
      <c r="X439" s="16">
        <f>IF(OR(U439="",Y439="Removed",Y439="Deindexed only",Y439="No action needed"),"",TODAY()-U439)</f>
        <v/>
      </c>
      <c r="Y439" s="18" t="n"/>
      <c r="Z439" s="17" t="n"/>
      <c r="AA439" s="18" t="n"/>
      <c r="AB439" s="19" t="n"/>
    </row>
    <row r="440">
      <c r="A440" s="16">
        <f>IF(C440="","",ROW()-1)</f>
        <v/>
      </c>
      <c r="B440" s="17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9" t="n"/>
      <c r="L440" s="19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7" t="n"/>
      <c r="V440" s="18" t="n"/>
      <c r="W440" s="20">
        <f>IF(U440="","",U440+Summary!$C$4)</f>
        <v/>
      </c>
      <c r="X440" s="16">
        <f>IF(OR(U440="",Y440="Removed",Y440="Deindexed only",Y440="No action needed"),"",TODAY()-U440)</f>
        <v/>
      </c>
      <c r="Y440" s="18" t="n"/>
      <c r="Z440" s="17" t="n"/>
      <c r="AA440" s="18" t="n"/>
      <c r="AB440" s="19" t="n"/>
    </row>
    <row r="441">
      <c r="A441" s="16">
        <f>IF(C441="","",ROW()-1)</f>
        <v/>
      </c>
      <c r="B441" s="17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9" t="n"/>
      <c r="L441" s="19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7" t="n"/>
      <c r="V441" s="18" t="n"/>
      <c r="W441" s="20">
        <f>IF(U441="","",U441+Summary!$C$4)</f>
        <v/>
      </c>
      <c r="X441" s="16">
        <f>IF(OR(U441="",Y441="Removed",Y441="Deindexed only",Y441="No action needed"),"",TODAY()-U441)</f>
        <v/>
      </c>
      <c r="Y441" s="18" t="n"/>
      <c r="Z441" s="17" t="n"/>
      <c r="AA441" s="18" t="n"/>
      <c r="AB441" s="19" t="n"/>
    </row>
    <row r="442">
      <c r="A442" s="16">
        <f>IF(C442="","",ROW()-1)</f>
        <v/>
      </c>
      <c r="B442" s="17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9" t="n"/>
      <c r="L442" s="19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7" t="n"/>
      <c r="V442" s="18" t="n"/>
      <c r="W442" s="20">
        <f>IF(U442="","",U442+Summary!$C$4)</f>
        <v/>
      </c>
      <c r="X442" s="16">
        <f>IF(OR(U442="",Y442="Removed",Y442="Deindexed only",Y442="No action needed"),"",TODAY()-U442)</f>
        <v/>
      </c>
      <c r="Y442" s="18" t="n"/>
      <c r="Z442" s="17" t="n"/>
      <c r="AA442" s="18" t="n"/>
      <c r="AB442" s="19" t="n"/>
    </row>
    <row r="443">
      <c r="A443" s="16">
        <f>IF(C443="","",ROW()-1)</f>
        <v/>
      </c>
      <c r="B443" s="17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9" t="n"/>
      <c r="L443" s="19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7" t="n"/>
      <c r="V443" s="18" t="n"/>
      <c r="W443" s="20">
        <f>IF(U443="","",U443+Summary!$C$4)</f>
        <v/>
      </c>
      <c r="X443" s="16">
        <f>IF(OR(U443="",Y443="Removed",Y443="Deindexed only",Y443="No action needed"),"",TODAY()-U443)</f>
        <v/>
      </c>
      <c r="Y443" s="18" t="n"/>
      <c r="Z443" s="17" t="n"/>
      <c r="AA443" s="18" t="n"/>
      <c r="AB443" s="19" t="n"/>
    </row>
    <row r="444">
      <c r="A444" s="16">
        <f>IF(C444="","",ROW()-1)</f>
        <v/>
      </c>
      <c r="B444" s="17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9" t="n"/>
      <c r="L444" s="19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7" t="n"/>
      <c r="V444" s="18" t="n"/>
      <c r="W444" s="20">
        <f>IF(U444="","",U444+Summary!$C$4)</f>
        <v/>
      </c>
      <c r="X444" s="16">
        <f>IF(OR(U444="",Y444="Removed",Y444="Deindexed only",Y444="No action needed"),"",TODAY()-U444)</f>
        <v/>
      </c>
      <c r="Y444" s="18" t="n"/>
      <c r="Z444" s="17" t="n"/>
      <c r="AA444" s="18" t="n"/>
      <c r="AB444" s="19" t="n"/>
    </row>
    <row r="445">
      <c r="A445" s="16">
        <f>IF(C445="","",ROW()-1)</f>
        <v/>
      </c>
      <c r="B445" s="17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9" t="n"/>
      <c r="L445" s="19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7" t="n"/>
      <c r="V445" s="18" t="n"/>
      <c r="W445" s="20">
        <f>IF(U445="","",U445+Summary!$C$4)</f>
        <v/>
      </c>
      <c r="X445" s="16">
        <f>IF(OR(U445="",Y445="Removed",Y445="Deindexed only",Y445="No action needed"),"",TODAY()-U445)</f>
        <v/>
      </c>
      <c r="Y445" s="18" t="n"/>
      <c r="Z445" s="17" t="n"/>
      <c r="AA445" s="18" t="n"/>
      <c r="AB445" s="19" t="n"/>
    </row>
    <row r="446">
      <c r="A446" s="16">
        <f>IF(C446="","",ROW()-1)</f>
        <v/>
      </c>
      <c r="B446" s="17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9" t="n"/>
      <c r="L446" s="19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7" t="n"/>
      <c r="V446" s="18" t="n"/>
      <c r="W446" s="20">
        <f>IF(U446="","",U446+Summary!$C$4)</f>
        <v/>
      </c>
      <c r="X446" s="16">
        <f>IF(OR(U446="",Y446="Removed",Y446="Deindexed only",Y446="No action needed"),"",TODAY()-U446)</f>
        <v/>
      </c>
      <c r="Y446" s="18" t="n"/>
      <c r="Z446" s="17" t="n"/>
      <c r="AA446" s="18" t="n"/>
      <c r="AB446" s="19" t="n"/>
    </row>
    <row r="447">
      <c r="A447" s="16">
        <f>IF(C447="","",ROW()-1)</f>
        <v/>
      </c>
      <c r="B447" s="17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9" t="n"/>
      <c r="L447" s="19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7" t="n"/>
      <c r="V447" s="18" t="n"/>
      <c r="W447" s="20">
        <f>IF(U447="","",U447+Summary!$C$4)</f>
        <v/>
      </c>
      <c r="X447" s="16">
        <f>IF(OR(U447="",Y447="Removed",Y447="Deindexed only",Y447="No action needed"),"",TODAY()-U447)</f>
        <v/>
      </c>
      <c r="Y447" s="18" t="n"/>
      <c r="Z447" s="17" t="n"/>
      <c r="AA447" s="18" t="n"/>
      <c r="AB447" s="19" t="n"/>
    </row>
    <row r="448">
      <c r="A448" s="16">
        <f>IF(C448="","",ROW()-1)</f>
        <v/>
      </c>
      <c r="B448" s="17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9" t="n"/>
      <c r="L448" s="19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7" t="n"/>
      <c r="V448" s="18" t="n"/>
      <c r="W448" s="20">
        <f>IF(U448="","",U448+Summary!$C$4)</f>
        <v/>
      </c>
      <c r="X448" s="16">
        <f>IF(OR(U448="",Y448="Removed",Y448="Deindexed only",Y448="No action needed"),"",TODAY()-U448)</f>
        <v/>
      </c>
      <c r="Y448" s="18" t="n"/>
      <c r="Z448" s="17" t="n"/>
      <c r="AA448" s="18" t="n"/>
      <c r="AB448" s="19" t="n"/>
    </row>
    <row r="449">
      <c r="A449" s="16">
        <f>IF(C449="","",ROW()-1)</f>
        <v/>
      </c>
      <c r="B449" s="17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9" t="n"/>
      <c r="L449" s="19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7" t="n"/>
      <c r="V449" s="18" t="n"/>
      <c r="W449" s="20">
        <f>IF(U449="","",U449+Summary!$C$4)</f>
        <v/>
      </c>
      <c r="X449" s="16">
        <f>IF(OR(U449="",Y449="Removed",Y449="Deindexed only",Y449="No action needed"),"",TODAY()-U449)</f>
        <v/>
      </c>
      <c r="Y449" s="18" t="n"/>
      <c r="Z449" s="17" t="n"/>
      <c r="AA449" s="18" t="n"/>
      <c r="AB449" s="19" t="n"/>
    </row>
    <row r="450">
      <c r="A450" s="16">
        <f>IF(C450="","",ROW()-1)</f>
        <v/>
      </c>
      <c r="B450" s="17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9" t="n"/>
      <c r="L450" s="19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7" t="n"/>
      <c r="V450" s="18" t="n"/>
      <c r="W450" s="20">
        <f>IF(U450="","",U450+Summary!$C$4)</f>
        <v/>
      </c>
      <c r="X450" s="16">
        <f>IF(OR(U450="",Y450="Removed",Y450="Deindexed only",Y450="No action needed"),"",TODAY()-U450)</f>
        <v/>
      </c>
      <c r="Y450" s="18" t="n"/>
      <c r="Z450" s="17" t="n"/>
      <c r="AA450" s="18" t="n"/>
      <c r="AB450" s="19" t="n"/>
    </row>
    <row r="451">
      <c r="A451" s="16">
        <f>IF(C451="","",ROW()-1)</f>
        <v/>
      </c>
      <c r="B451" s="17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9" t="n"/>
      <c r="L451" s="19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7" t="n"/>
      <c r="V451" s="18" t="n"/>
      <c r="W451" s="20">
        <f>IF(U451="","",U451+Summary!$C$4)</f>
        <v/>
      </c>
      <c r="X451" s="16">
        <f>IF(OR(U451="",Y451="Removed",Y451="Deindexed only",Y451="No action needed"),"",TODAY()-U451)</f>
        <v/>
      </c>
      <c r="Y451" s="18" t="n"/>
      <c r="Z451" s="17" t="n"/>
      <c r="AA451" s="18" t="n"/>
      <c r="AB451" s="19" t="n"/>
    </row>
    <row r="452">
      <c r="A452" s="16">
        <f>IF(C452="","",ROW()-1)</f>
        <v/>
      </c>
      <c r="B452" s="17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9" t="n"/>
      <c r="L452" s="19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7" t="n"/>
      <c r="V452" s="18" t="n"/>
      <c r="W452" s="20">
        <f>IF(U452="","",U452+Summary!$C$4)</f>
        <v/>
      </c>
      <c r="X452" s="16">
        <f>IF(OR(U452="",Y452="Removed",Y452="Deindexed only",Y452="No action needed"),"",TODAY()-U452)</f>
        <v/>
      </c>
      <c r="Y452" s="18" t="n"/>
      <c r="Z452" s="17" t="n"/>
      <c r="AA452" s="18" t="n"/>
      <c r="AB452" s="19" t="n"/>
    </row>
    <row r="453">
      <c r="A453" s="16">
        <f>IF(C453="","",ROW()-1)</f>
        <v/>
      </c>
      <c r="B453" s="17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9" t="n"/>
      <c r="L453" s="19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7" t="n"/>
      <c r="V453" s="18" t="n"/>
      <c r="W453" s="20">
        <f>IF(U453="","",U453+Summary!$C$4)</f>
        <v/>
      </c>
      <c r="X453" s="16">
        <f>IF(OR(U453="",Y453="Removed",Y453="Deindexed only",Y453="No action needed"),"",TODAY()-U453)</f>
        <v/>
      </c>
      <c r="Y453" s="18" t="n"/>
      <c r="Z453" s="17" t="n"/>
      <c r="AA453" s="18" t="n"/>
      <c r="AB453" s="19" t="n"/>
    </row>
    <row r="454">
      <c r="A454" s="16">
        <f>IF(C454="","",ROW()-1)</f>
        <v/>
      </c>
      <c r="B454" s="17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9" t="n"/>
      <c r="L454" s="19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7" t="n"/>
      <c r="V454" s="18" t="n"/>
      <c r="W454" s="20">
        <f>IF(U454="","",U454+Summary!$C$4)</f>
        <v/>
      </c>
      <c r="X454" s="16">
        <f>IF(OR(U454="",Y454="Removed",Y454="Deindexed only",Y454="No action needed"),"",TODAY()-U454)</f>
        <v/>
      </c>
      <c r="Y454" s="18" t="n"/>
      <c r="Z454" s="17" t="n"/>
      <c r="AA454" s="18" t="n"/>
      <c r="AB454" s="19" t="n"/>
    </row>
    <row r="455">
      <c r="A455" s="16">
        <f>IF(C455="","",ROW()-1)</f>
        <v/>
      </c>
      <c r="B455" s="17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9" t="n"/>
      <c r="L455" s="19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7" t="n"/>
      <c r="V455" s="18" t="n"/>
      <c r="W455" s="20">
        <f>IF(U455="","",U455+Summary!$C$4)</f>
        <v/>
      </c>
      <c r="X455" s="16">
        <f>IF(OR(U455="",Y455="Removed",Y455="Deindexed only",Y455="No action needed"),"",TODAY()-U455)</f>
        <v/>
      </c>
      <c r="Y455" s="18" t="n"/>
      <c r="Z455" s="17" t="n"/>
      <c r="AA455" s="18" t="n"/>
      <c r="AB455" s="19" t="n"/>
    </row>
    <row r="456">
      <c r="A456" s="16">
        <f>IF(C456="","",ROW()-1)</f>
        <v/>
      </c>
      <c r="B456" s="17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9" t="n"/>
      <c r="L456" s="19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7" t="n"/>
      <c r="V456" s="18" t="n"/>
      <c r="W456" s="20">
        <f>IF(U456="","",U456+Summary!$C$4)</f>
        <v/>
      </c>
      <c r="X456" s="16">
        <f>IF(OR(U456="",Y456="Removed",Y456="Deindexed only",Y456="No action needed"),"",TODAY()-U456)</f>
        <v/>
      </c>
      <c r="Y456" s="18" t="n"/>
      <c r="Z456" s="17" t="n"/>
      <c r="AA456" s="18" t="n"/>
      <c r="AB456" s="19" t="n"/>
    </row>
    <row r="457">
      <c r="A457" s="16">
        <f>IF(C457="","",ROW()-1)</f>
        <v/>
      </c>
      <c r="B457" s="17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9" t="n"/>
      <c r="L457" s="19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7" t="n"/>
      <c r="V457" s="18" t="n"/>
      <c r="W457" s="20">
        <f>IF(U457="","",U457+Summary!$C$4)</f>
        <v/>
      </c>
      <c r="X457" s="16">
        <f>IF(OR(U457="",Y457="Removed",Y457="Deindexed only",Y457="No action needed"),"",TODAY()-U457)</f>
        <v/>
      </c>
      <c r="Y457" s="18" t="n"/>
      <c r="Z457" s="17" t="n"/>
      <c r="AA457" s="18" t="n"/>
      <c r="AB457" s="19" t="n"/>
    </row>
    <row r="458">
      <c r="A458" s="16">
        <f>IF(C458="","",ROW()-1)</f>
        <v/>
      </c>
      <c r="B458" s="17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9" t="n"/>
      <c r="L458" s="19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7" t="n"/>
      <c r="V458" s="18" t="n"/>
      <c r="W458" s="20">
        <f>IF(U458="","",U458+Summary!$C$4)</f>
        <v/>
      </c>
      <c r="X458" s="16">
        <f>IF(OR(U458="",Y458="Removed",Y458="Deindexed only",Y458="No action needed"),"",TODAY()-U458)</f>
        <v/>
      </c>
      <c r="Y458" s="18" t="n"/>
      <c r="Z458" s="17" t="n"/>
      <c r="AA458" s="18" t="n"/>
      <c r="AB458" s="19" t="n"/>
    </row>
    <row r="459">
      <c r="A459" s="16">
        <f>IF(C459="","",ROW()-1)</f>
        <v/>
      </c>
      <c r="B459" s="17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9" t="n"/>
      <c r="L459" s="19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7" t="n"/>
      <c r="V459" s="18" t="n"/>
      <c r="W459" s="20">
        <f>IF(U459="","",U459+Summary!$C$4)</f>
        <v/>
      </c>
      <c r="X459" s="16">
        <f>IF(OR(U459="",Y459="Removed",Y459="Deindexed only",Y459="No action needed"),"",TODAY()-U459)</f>
        <v/>
      </c>
      <c r="Y459" s="18" t="n"/>
      <c r="Z459" s="17" t="n"/>
      <c r="AA459" s="18" t="n"/>
      <c r="AB459" s="19" t="n"/>
    </row>
    <row r="460">
      <c r="A460" s="16">
        <f>IF(C460="","",ROW()-1)</f>
        <v/>
      </c>
      <c r="B460" s="17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9" t="n"/>
      <c r="L460" s="19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7" t="n"/>
      <c r="V460" s="18" t="n"/>
      <c r="W460" s="20">
        <f>IF(U460="","",U460+Summary!$C$4)</f>
        <v/>
      </c>
      <c r="X460" s="16">
        <f>IF(OR(U460="",Y460="Removed",Y460="Deindexed only",Y460="No action needed"),"",TODAY()-U460)</f>
        <v/>
      </c>
      <c r="Y460" s="18" t="n"/>
      <c r="Z460" s="17" t="n"/>
      <c r="AA460" s="18" t="n"/>
      <c r="AB460" s="19" t="n"/>
    </row>
    <row r="461">
      <c r="A461" s="16">
        <f>IF(C461="","",ROW()-1)</f>
        <v/>
      </c>
      <c r="B461" s="17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9" t="n"/>
      <c r="L461" s="19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7" t="n"/>
      <c r="V461" s="18" t="n"/>
      <c r="W461" s="20">
        <f>IF(U461="","",U461+Summary!$C$4)</f>
        <v/>
      </c>
      <c r="X461" s="16">
        <f>IF(OR(U461="",Y461="Removed",Y461="Deindexed only",Y461="No action needed"),"",TODAY()-U461)</f>
        <v/>
      </c>
      <c r="Y461" s="18" t="n"/>
      <c r="Z461" s="17" t="n"/>
      <c r="AA461" s="18" t="n"/>
      <c r="AB461" s="19" t="n"/>
    </row>
    <row r="462">
      <c r="A462" s="16">
        <f>IF(C462="","",ROW()-1)</f>
        <v/>
      </c>
      <c r="B462" s="17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9" t="n"/>
      <c r="L462" s="19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7" t="n"/>
      <c r="V462" s="18" t="n"/>
      <c r="W462" s="20">
        <f>IF(U462="","",U462+Summary!$C$4)</f>
        <v/>
      </c>
      <c r="X462" s="16">
        <f>IF(OR(U462="",Y462="Removed",Y462="Deindexed only",Y462="No action needed"),"",TODAY()-U462)</f>
        <v/>
      </c>
      <c r="Y462" s="18" t="n"/>
      <c r="Z462" s="17" t="n"/>
      <c r="AA462" s="18" t="n"/>
      <c r="AB462" s="19" t="n"/>
    </row>
    <row r="463">
      <c r="A463" s="16">
        <f>IF(C463="","",ROW()-1)</f>
        <v/>
      </c>
      <c r="B463" s="17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9" t="n"/>
      <c r="L463" s="19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7" t="n"/>
      <c r="V463" s="18" t="n"/>
      <c r="W463" s="20">
        <f>IF(U463="","",U463+Summary!$C$4)</f>
        <v/>
      </c>
      <c r="X463" s="16">
        <f>IF(OR(U463="",Y463="Removed",Y463="Deindexed only",Y463="No action needed"),"",TODAY()-U463)</f>
        <v/>
      </c>
      <c r="Y463" s="18" t="n"/>
      <c r="Z463" s="17" t="n"/>
      <c r="AA463" s="18" t="n"/>
      <c r="AB463" s="19" t="n"/>
    </row>
    <row r="464">
      <c r="A464" s="16">
        <f>IF(C464="","",ROW()-1)</f>
        <v/>
      </c>
      <c r="B464" s="17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9" t="n"/>
      <c r="L464" s="19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7" t="n"/>
      <c r="V464" s="18" t="n"/>
      <c r="W464" s="20">
        <f>IF(U464="","",U464+Summary!$C$4)</f>
        <v/>
      </c>
      <c r="X464" s="16">
        <f>IF(OR(U464="",Y464="Removed",Y464="Deindexed only",Y464="No action needed"),"",TODAY()-U464)</f>
        <v/>
      </c>
      <c r="Y464" s="18" t="n"/>
      <c r="Z464" s="17" t="n"/>
      <c r="AA464" s="18" t="n"/>
      <c r="AB464" s="19" t="n"/>
    </row>
    <row r="465">
      <c r="A465" s="16">
        <f>IF(C465="","",ROW()-1)</f>
        <v/>
      </c>
      <c r="B465" s="17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9" t="n"/>
      <c r="L465" s="19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7" t="n"/>
      <c r="V465" s="18" t="n"/>
      <c r="W465" s="20">
        <f>IF(U465="","",U465+Summary!$C$4)</f>
        <v/>
      </c>
      <c r="X465" s="16">
        <f>IF(OR(U465="",Y465="Removed",Y465="Deindexed only",Y465="No action needed"),"",TODAY()-U465)</f>
        <v/>
      </c>
      <c r="Y465" s="18" t="n"/>
      <c r="Z465" s="17" t="n"/>
      <c r="AA465" s="18" t="n"/>
      <c r="AB465" s="19" t="n"/>
    </row>
    <row r="466">
      <c r="A466" s="16">
        <f>IF(C466="","",ROW()-1)</f>
        <v/>
      </c>
      <c r="B466" s="17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9" t="n"/>
      <c r="L466" s="19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7" t="n"/>
      <c r="V466" s="18" t="n"/>
      <c r="W466" s="20">
        <f>IF(U466="","",U466+Summary!$C$4)</f>
        <v/>
      </c>
      <c r="X466" s="16">
        <f>IF(OR(U466="",Y466="Removed",Y466="Deindexed only",Y466="No action needed"),"",TODAY()-U466)</f>
        <v/>
      </c>
      <c r="Y466" s="18" t="n"/>
      <c r="Z466" s="17" t="n"/>
      <c r="AA466" s="18" t="n"/>
      <c r="AB466" s="19" t="n"/>
    </row>
    <row r="467">
      <c r="A467" s="16">
        <f>IF(C467="","",ROW()-1)</f>
        <v/>
      </c>
      <c r="B467" s="17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9" t="n"/>
      <c r="L467" s="19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7" t="n"/>
      <c r="V467" s="18" t="n"/>
      <c r="W467" s="20">
        <f>IF(U467="","",U467+Summary!$C$4)</f>
        <v/>
      </c>
      <c r="X467" s="16">
        <f>IF(OR(U467="",Y467="Removed",Y467="Deindexed only",Y467="No action needed"),"",TODAY()-U467)</f>
        <v/>
      </c>
      <c r="Y467" s="18" t="n"/>
      <c r="Z467" s="17" t="n"/>
      <c r="AA467" s="18" t="n"/>
      <c r="AB467" s="19" t="n"/>
    </row>
    <row r="468">
      <c r="A468" s="16">
        <f>IF(C468="","",ROW()-1)</f>
        <v/>
      </c>
      <c r="B468" s="17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9" t="n"/>
      <c r="L468" s="19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7" t="n"/>
      <c r="V468" s="18" t="n"/>
      <c r="W468" s="20">
        <f>IF(U468="","",U468+Summary!$C$4)</f>
        <v/>
      </c>
      <c r="X468" s="16">
        <f>IF(OR(U468="",Y468="Removed",Y468="Deindexed only",Y468="No action needed"),"",TODAY()-U468)</f>
        <v/>
      </c>
      <c r="Y468" s="18" t="n"/>
      <c r="Z468" s="17" t="n"/>
      <c r="AA468" s="18" t="n"/>
      <c r="AB468" s="19" t="n"/>
    </row>
    <row r="469">
      <c r="A469" s="16">
        <f>IF(C469="","",ROW()-1)</f>
        <v/>
      </c>
      <c r="B469" s="17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9" t="n"/>
      <c r="L469" s="19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7" t="n"/>
      <c r="V469" s="18" t="n"/>
      <c r="W469" s="20">
        <f>IF(U469="","",U469+Summary!$C$4)</f>
        <v/>
      </c>
      <c r="X469" s="16">
        <f>IF(OR(U469="",Y469="Removed",Y469="Deindexed only",Y469="No action needed"),"",TODAY()-U469)</f>
        <v/>
      </c>
      <c r="Y469" s="18" t="n"/>
      <c r="Z469" s="17" t="n"/>
      <c r="AA469" s="18" t="n"/>
      <c r="AB469" s="19" t="n"/>
    </row>
    <row r="470">
      <c r="A470" s="16">
        <f>IF(C470="","",ROW()-1)</f>
        <v/>
      </c>
      <c r="B470" s="17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9" t="n"/>
      <c r="L470" s="19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7" t="n"/>
      <c r="V470" s="18" t="n"/>
      <c r="W470" s="20">
        <f>IF(U470="","",U470+Summary!$C$4)</f>
        <v/>
      </c>
      <c r="X470" s="16">
        <f>IF(OR(U470="",Y470="Removed",Y470="Deindexed only",Y470="No action needed"),"",TODAY()-U470)</f>
        <v/>
      </c>
      <c r="Y470" s="18" t="n"/>
      <c r="Z470" s="17" t="n"/>
      <c r="AA470" s="18" t="n"/>
      <c r="AB470" s="19" t="n"/>
    </row>
    <row r="471">
      <c r="A471" s="16">
        <f>IF(C471="","",ROW()-1)</f>
        <v/>
      </c>
      <c r="B471" s="17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9" t="n"/>
      <c r="L471" s="19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7" t="n"/>
      <c r="V471" s="18" t="n"/>
      <c r="W471" s="20">
        <f>IF(U471="","",U471+Summary!$C$4)</f>
        <v/>
      </c>
      <c r="X471" s="16">
        <f>IF(OR(U471="",Y471="Removed",Y471="Deindexed only",Y471="No action needed"),"",TODAY()-U471)</f>
        <v/>
      </c>
      <c r="Y471" s="18" t="n"/>
      <c r="Z471" s="17" t="n"/>
      <c r="AA471" s="18" t="n"/>
      <c r="AB471" s="19" t="n"/>
    </row>
    <row r="472">
      <c r="A472" s="16">
        <f>IF(C472="","",ROW()-1)</f>
        <v/>
      </c>
      <c r="B472" s="17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9" t="n"/>
      <c r="L472" s="19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7" t="n"/>
      <c r="V472" s="18" t="n"/>
      <c r="W472" s="20">
        <f>IF(U472="","",U472+Summary!$C$4)</f>
        <v/>
      </c>
      <c r="X472" s="16">
        <f>IF(OR(U472="",Y472="Removed",Y472="Deindexed only",Y472="No action needed"),"",TODAY()-U472)</f>
        <v/>
      </c>
      <c r="Y472" s="18" t="n"/>
      <c r="Z472" s="17" t="n"/>
      <c r="AA472" s="18" t="n"/>
      <c r="AB472" s="19" t="n"/>
    </row>
    <row r="473">
      <c r="A473" s="16">
        <f>IF(C473="","",ROW()-1)</f>
        <v/>
      </c>
      <c r="B473" s="17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9" t="n"/>
      <c r="L473" s="19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7" t="n"/>
      <c r="V473" s="18" t="n"/>
      <c r="W473" s="20">
        <f>IF(U473="","",U473+Summary!$C$4)</f>
        <v/>
      </c>
      <c r="X473" s="16">
        <f>IF(OR(U473="",Y473="Removed",Y473="Deindexed only",Y473="No action needed"),"",TODAY()-U473)</f>
        <v/>
      </c>
      <c r="Y473" s="18" t="n"/>
      <c r="Z473" s="17" t="n"/>
      <c r="AA473" s="18" t="n"/>
      <c r="AB473" s="19" t="n"/>
    </row>
    <row r="474">
      <c r="A474" s="16">
        <f>IF(C474="","",ROW()-1)</f>
        <v/>
      </c>
      <c r="B474" s="17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9" t="n"/>
      <c r="L474" s="19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7" t="n"/>
      <c r="V474" s="18" t="n"/>
      <c r="W474" s="20">
        <f>IF(U474="","",U474+Summary!$C$4)</f>
        <v/>
      </c>
      <c r="X474" s="16">
        <f>IF(OR(U474="",Y474="Removed",Y474="Deindexed only",Y474="No action needed"),"",TODAY()-U474)</f>
        <v/>
      </c>
      <c r="Y474" s="18" t="n"/>
      <c r="Z474" s="17" t="n"/>
      <c r="AA474" s="18" t="n"/>
      <c r="AB474" s="19" t="n"/>
    </row>
    <row r="475">
      <c r="A475" s="16">
        <f>IF(C475="","",ROW()-1)</f>
        <v/>
      </c>
      <c r="B475" s="17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9" t="n"/>
      <c r="L475" s="19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7" t="n"/>
      <c r="V475" s="18" t="n"/>
      <c r="W475" s="20">
        <f>IF(U475="","",U475+Summary!$C$4)</f>
        <v/>
      </c>
      <c r="X475" s="16">
        <f>IF(OR(U475="",Y475="Removed",Y475="Deindexed only",Y475="No action needed"),"",TODAY()-U475)</f>
        <v/>
      </c>
      <c r="Y475" s="18" t="n"/>
      <c r="Z475" s="17" t="n"/>
      <c r="AA475" s="18" t="n"/>
      <c r="AB475" s="19" t="n"/>
    </row>
    <row r="476">
      <c r="A476" s="16">
        <f>IF(C476="","",ROW()-1)</f>
        <v/>
      </c>
      <c r="B476" s="17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9" t="n"/>
      <c r="L476" s="19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7" t="n"/>
      <c r="V476" s="18" t="n"/>
      <c r="W476" s="20">
        <f>IF(U476="","",U476+Summary!$C$4)</f>
        <v/>
      </c>
      <c r="X476" s="16">
        <f>IF(OR(U476="",Y476="Removed",Y476="Deindexed only",Y476="No action needed"),"",TODAY()-U476)</f>
        <v/>
      </c>
      <c r="Y476" s="18" t="n"/>
      <c r="Z476" s="17" t="n"/>
      <c r="AA476" s="18" t="n"/>
      <c r="AB476" s="19" t="n"/>
    </row>
    <row r="477">
      <c r="A477" s="16">
        <f>IF(C477="","",ROW()-1)</f>
        <v/>
      </c>
      <c r="B477" s="17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9" t="n"/>
      <c r="L477" s="19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7" t="n"/>
      <c r="V477" s="18" t="n"/>
      <c r="W477" s="20">
        <f>IF(U477="","",U477+Summary!$C$4)</f>
        <v/>
      </c>
      <c r="X477" s="16">
        <f>IF(OR(U477="",Y477="Removed",Y477="Deindexed only",Y477="No action needed"),"",TODAY()-U477)</f>
        <v/>
      </c>
      <c r="Y477" s="18" t="n"/>
      <c r="Z477" s="17" t="n"/>
      <c r="AA477" s="18" t="n"/>
      <c r="AB477" s="19" t="n"/>
    </row>
    <row r="478">
      <c r="A478" s="16">
        <f>IF(C478="","",ROW()-1)</f>
        <v/>
      </c>
      <c r="B478" s="17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9" t="n"/>
      <c r="L478" s="19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7" t="n"/>
      <c r="V478" s="18" t="n"/>
      <c r="W478" s="20">
        <f>IF(U478="","",U478+Summary!$C$4)</f>
        <v/>
      </c>
      <c r="X478" s="16">
        <f>IF(OR(U478="",Y478="Removed",Y478="Deindexed only",Y478="No action needed"),"",TODAY()-U478)</f>
        <v/>
      </c>
      <c r="Y478" s="18" t="n"/>
      <c r="Z478" s="17" t="n"/>
      <c r="AA478" s="18" t="n"/>
      <c r="AB478" s="19" t="n"/>
    </row>
    <row r="479">
      <c r="A479" s="16">
        <f>IF(C479="","",ROW()-1)</f>
        <v/>
      </c>
      <c r="B479" s="17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9" t="n"/>
      <c r="L479" s="19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7" t="n"/>
      <c r="V479" s="18" t="n"/>
      <c r="W479" s="20">
        <f>IF(U479="","",U479+Summary!$C$4)</f>
        <v/>
      </c>
      <c r="X479" s="16">
        <f>IF(OR(U479="",Y479="Removed",Y479="Deindexed only",Y479="No action needed"),"",TODAY()-U479)</f>
        <v/>
      </c>
      <c r="Y479" s="18" t="n"/>
      <c r="Z479" s="17" t="n"/>
      <c r="AA479" s="18" t="n"/>
      <c r="AB479" s="19" t="n"/>
    </row>
    <row r="480">
      <c r="A480" s="16">
        <f>IF(C480="","",ROW()-1)</f>
        <v/>
      </c>
      <c r="B480" s="17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9" t="n"/>
      <c r="L480" s="19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7" t="n"/>
      <c r="V480" s="18" t="n"/>
      <c r="W480" s="20">
        <f>IF(U480="","",U480+Summary!$C$4)</f>
        <v/>
      </c>
      <c r="X480" s="16">
        <f>IF(OR(U480="",Y480="Removed",Y480="Deindexed only",Y480="No action needed"),"",TODAY()-U480)</f>
        <v/>
      </c>
      <c r="Y480" s="18" t="n"/>
      <c r="Z480" s="17" t="n"/>
      <c r="AA480" s="18" t="n"/>
      <c r="AB480" s="19" t="n"/>
    </row>
    <row r="481">
      <c r="A481" s="16">
        <f>IF(C481="","",ROW()-1)</f>
        <v/>
      </c>
      <c r="B481" s="17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9" t="n"/>
      <c r="L481" s="19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7" t="n"/>
      <c r="V481" s="18" t="n"/>
      <c r="W481" s="20">
        <f>IF(U481="","",U481+Summary!$C$4)</f>
        <v/>
      </c>
      <c r="X481" s="16">
        <f>IF(OR(U481="",Y481="Removed",Y481="Deindexed only",Y481="No action needed"),"",TODAY()-U481)</f>
        <v/>
      </c>
      <c r="Y481" s="18" t="n"/>
      <c r="Z481" s="17" t="n"/>
      <c r="AA481" s="18" t="n"/>
      <c r="AB481" s="19" t="n"/>
    </row>
    <row r="482">
      <c r="A482" s="16">
        <f>IF(C482="","",ROW()-1)</f>
        <v/>
      </c>
      <c r="B482" s="17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9" t="n"/>
      <c r="L482" s="19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7" t="n"/>
      <c r="V482" s="18" t="n"/>
      <c r="W482" s="20">
        <f>IF(U482="","",U482+Summary!$C$4)</f>
        <v/>
      </c>
      <c r="X482" s="16">
        <f>IF(OR(U482="",Y482="Removed",Y482="Deindexed only",Y482="No action needed"),"",TODAY()-U482)</f>
        <v/>
      </c>
      <c r="Y482" s="18" t="n"/>
      <c r="Z482" s="17" t="n"/>
      <c r="AA482" s="18" t="n"/>
      <c r="AB482" s="19" t="n"/>
    </row>
    <row r="483">
      <c r="A483" s="16">
        <f>IF(C483="","",ROW()-1)</f>
        <v/>
      </c>
      <c r="B483" s="17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9" t="n"/>
      <c r="L483" s="19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7" t="n"/>
      <c r="V483" s="18" t="n"/>
      <c r="W483" s="20">
        <f>IF(U483="","",U483+Summary!$C$4)</f>
        <v/>
      </c>
      <c r="X483" s="16">
        <f>IF(OR(U483="",Y483="Removed",Y483="Deindexed only",Y483="No action needed"),"",TODAY()-U483)</f>
        <v/>
      </c>
      <c r="Y483" s="18" t="n"/>
      <c r="Z483" s="17" t="n"/>
      <c r="AA483" s="18" t="n"/>
      <c r="AB483" s="19" t="n"/>
    </row>
    <row r="484">
      <c r="A484" s="16">
        <f>IF(C484="","",ROW()-1)</f>
        <v/>
      </c>
      <c r="B484" s="17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9" t="n"/>
      <c r="L484" s="19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7" t="n"/>
      <c r="V484" s="18" t="n"/>
      <c r="W484" s="20">
        <f>IF(U484="","",U484+Summary!$C$4)</f>
        <v/>
      </c>
      <c r="X484" s="16">
        <f>IF(OR(U484="",Y484="Removed",Y484="Deindexed only",Y484="No action needed"),"",TODAY()-U484)</f>
        <v/>
      </c>
      <c r="Y484" s="18" t="n"/>
      <c r="Z484" s="17" t="n"/>
      <c r="AA484" s="18" t="n"/>
      <c r="AB484" s="19" t="n"/>
    </row>
    <row r="485">
      <c r="A485" s="16">
        <f>IF(C485="","",ROW()-1)</f>
        <v/>
      </c>
      <c r="B485" s="17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9" t="n"/>
      <c r="L485" s="19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7" t="n"/>
      <c r="V485" s="18" t="n"/>
      <c r="W485" s="20">
        <f>IF(U485="","",U485+Summary!$C$4)</f>
        <v/>
      </c>
      <c r="X485" s="16">
        <f>IF(OR(U485="",Y485="Removed",Y485="Deindexed only",Y485="No action needed"),"",TODAY()-U485)</f>
        <v/>
      </c>
      <c r="Y485" s="18" t="n"/>
      <c r="Z485" s="17" t="n"/>
      <c r="AA485" s="18" t="n"/>
      <c r="AB485" s="19" t="n"/>
    </row>
    <row r="486">
      <c r="A486" s="16">
        <f>IF(C486="","",ROW()-1)</f>
        <v/>
      </c>
      <c r="B486" s="17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9" t="n"/>
      <c r="L486" s="19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7" t="n"/>
      <c r="V486" s="18" t="n"/>
      <c r="W486" s="20">
        <f>IF(U486="","",U486+Summary!$C$4)</f>
        <v/>
      </c>
      <c r="X486" s="16">
        <f>IF(OR(U486="",Y486="Removed",Y486="Deindexed only",Y486="No action needed"),"",TODAY()-U486)</f>
        <v/>
      </c>
      <c r="Y486" s="18" t="n"/>
      <c r="Z486" s="17" t="n"/>
      <c r="AA486" s="18" t="n"/>
      <c r="AB486" s="19" t="n"/>
    </row>
    <row r="487">
      <c r="A487" s="16">
        <f>IF(C487="","",ROW()-1)</f>
        <v/>
      </c>
      <c r="B487" s="17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9" t="n"/>
      <c r="L487" s="19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7" t="n"/>
      <c r="V487" s="18" t="n"/>
      <c r="W487" s="20">
        <f>IF(U487="","",U487+Summary!$C$4)</f>
        <v/>
      </c>
      <c r="X487" s="16">
        <f>IF(OR(U487="",Y487="Removed",Y487="Deindexed only",Y487="No action needed"),"",TODAY()-U487)</f>
        <v/>
      </c>
      <c r="Y487" s="18" t="n"/>
      <c r="Z487" s="17" t="n"/>
      <c r="AA487" s="18" t="n"/>
      <c r="AB487" s="19" t="n"/>
    </row>
    <row r="488">
      <c r="A488" s="16">
        <f>IF(C488="","",ROW()-1)</f>
        <v/>
      </c>
      <c r="B488" s="17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9" t="n"/>
      <c r="L488" s="19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7" t="n"/>
      <c r="V488" s="18" t="n"/>
      <c r="W488" s="20">
        <f>IF(U488="","",U488+Summary!$C$4)</f>
        <v/>
      </c>
      <c r="X488" s="16">
        <f>IF(OR(U488="",Y488="Removed",Y488="Deindexed only",Y488="No action needed"),"",TODAY()-U488)</f>
        <v/>
      </c>
      <c r="Y488" s="18" t="n"/>
      <c r="Z488" s="17" t="n"/>
      <c r="AA488" s="18" t="n"/>
      <c r="AB488" s="19" t="n"/>
    </row>
    <row r="489">
      <c r="A489" s="16">
        <f>IF(C489="","",ROW()-1)</f>
        <v/>
      </c>
      <c r="B489" s="17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9" t="n"/>
      <c r="L489" s="19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7" t="n"/>
      <c r="V489" s="18" t="n"/>
      <c r="W489" s="20">
        <f>IF(U489="","",U489+Summary!$C$4)</f>
        <v/>
      </c>
      <c r="X489" s="16">
        <f>IF(OR(U489="",Y489="Removed",Y489="Deindexed only",Y489="No action needed"),"",TODAY()-U489)</f>
        <v/>
      </c>
      <c r="Y489" s="18" t="n"/>
      <c r="Z489" s="17" t="n"/>
      <c r="AA489" s="18" t="n"/>
      <c r="AB489" s="19" t="n"/>
    </row>
    <row r="490">
      <c r="A490" s="16">
        <f>IF(C490="","",ROW()-1)</f>
        <v/>
      </c>
      <c r="B490" s="17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9" t="n"/>
      <c r="L490" s="19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7" t="n"/>
      <c r="V490" s="18" t="n"/>
      <c r="W490" s="20">
        <f>IF(U490="","",U490+Summary!$C$4)</f>
        <v/>
      </c>
      <c r="X490" s="16">
        <f>IF(OR(U490="",Y490="Removed",Y490="Deindexed only",Y490="No action needed"),"",TODAY()-U490)</f>
        <v/>
      </c>
      <c r="Y490" s="18" t="n"/>
      <c r="Z490" s="17" t="n"/>
      <c r="AA490" s="18" t="n"/>
      <c r="AB490" s="19" t="n"/>
    </row>
    <row r="491">
      <c r="A491" s="16">
        <f>IF(C491="","",ROW()-1)</f>
        <v/>
      </c>
      <c r="B491" s="17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9" t="n"/>
      <c r="L491" s="19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7" t="n"/>
      <c r="V491" s="18" t="n"/>
      <c r="W491" s="20">
        <f>IF(U491="","",U491+Summary!$C$4)</f>
        <v/>
      </c>
      <c r="X491" s="16">
        <f>IF(OR(U491="",Y491="Removed",Y491="Deindexed only",Y491="No action needed"),"",TODAY()-U491)</f>
        <v/>
      </c>
      <c r="Y491" s="18" t="n"/>
      <c r="Z491" s="17" t="n"/>
      <c r="AA491" s="18" t="n"/>
      <c r="AB491" s="19" t="n"/>
    </row>
    <row r="492">
      <c r="A492" s="16">
        <f>IF(C492="","",ROW()-1)</f>
        <v/>
      </c>
      <c r="B492" s="17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9" t="n"/>
      <c r="L492" s="19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7" t="n"/>
      <c r="V492" s="18" t="n"/>
      <c r="W492" s="20">
        <f>IF(U492="","",U492+Summary!$C$4)</f>
        <v/>
      </c>
      <c r="X492" s="16">
        <f>IF(OR(U492="",Y492="Removed",Y492="Deindexed only",Y492="No action needed"),"",TODAY()-U492)</f>
        <v/>
      </c>
      <c r="Y492" s="18" t="n"/>
      <c r="Z492" s="17" t="n"/>
      <c r="AA492" s="18" t="n"/>
      <c r="AB492" s="19" t="n"/>
    </row>
    <row r="493">
      <c r="A493" s="16">
        <f>IF(C493="","",ROW()-1)</f>
        <v/>
      </c>
      <c r="B493" s="17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9" t="n"/>
      <c r="L493" s="19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7" t="n"/>
      <c r="V493" s="18" t="n"/>
      <c r="W493" s="20">
        <f>IF(U493="","",U493+Summary!$C$4)</f>
        <v/>
      </c>
      <c r="X493" s="16">
        <f>IF(OR(U493="",Y493="Removed",Y493="Deindexed only",Y493="No action needed"),"",TODAY()-U493)</f>
        <v/>
      </c>
      <c r="Y493" s="18" t="n"/>
      <c r="Z493" s="17" t="n"/>
      <c r="AA493" s="18" t="n"/>
      <c r="AB493" s="19" t="n"/>
    </row>
    <row r="494">
      <c r="A494" s="16">
        <f>IF(C494="","",ROW()-1)</f>
        <v/>
      </c>
      <c r="B494" s="17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9" t="n"/>
      <c r="L494" s="19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7" t="n"/>
      <c r="V494" s="18" t="n"/>
      <c r="W494" s="20">
        <f>IF(U494="","",U494+Summary!$C$4)</f>
        <v/>
      </c>
      <c r="X494" s="16">
        <f>IF(OR(U494="",Y494="Removed",Y494="Deindexed only",Y494="No action needed"),"",TODAY()-U494)</f>
        <v/>
      </c>
      <c r="Y494" s="18" t="n"/>
      <c r="Z494" s="17" t="n"/>
      <c r="AA494" s="18" t="n"/>
      <c r="AB494" s="19" t="n"/>
    </row>
    <row r="495">
      <c r="A495" s="16">
        <f>IF(C495="","",ROW()-1)</f>
        <v/>
      </c>
      <c r="B495" s="17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9" t="n"/>
      <c r="L495" s="19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7" t="n"/>
      <c r="V495" s="18" t="n"/>
      <c r="W495" s="20">
        <f>IF(U495="","",U495+Summary!$C$4)</f>
        <v/>
      </c>
      <c r="X495" s="16">
        <f>IF(OR(U495="",Y495="Removed",Y495="Deindexed only",Y495="No action needed"),"",TODAY()-U495)</f>
        <v/>
      </c>
      <c r="Y495" s="18" t="n"/>
      <c r="Z495" s="17" t="n"/>
      <c r="AA495" s="18" t="n"/>
      <c r="AB495" s="19" t="n"/>
    </row>
    <row r="496">
      <c r="A496" s="16">
        <f>IF(C496="","",ROW()-1)</f>
        <v/>
      </c>
      <c r="B496" s="17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9" t="n"/>
      <c r="L496" s="19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7" t="n"/>
      <c r="V496" s="18" t="n"/>
      <c r="W496" s="20">
        <f>IF(U496="","",U496+Summary!$C$4)</f>
        <v/>
      </c>
      <c r="X496" s="16">
        <f>IF(OR(U496="",Y496="Removed",Y496="Deindexed only",Y496="No action needed"),"",TODAY()-U496)</f>
        <v/>
      </c>
      <c r="Y496" s="18" t="n"/>
      <c r="Z496" s="17" t="n"/>
      <c r="AA496" s="18" t="n"/>
      <c r="AB496" s="19" t="n"/>
    </row>
    <row r="497">
      <c r="A497" s="16">
        <f>IF(C497="","",ROW()-1)</f>
        <v/>
      </c>
      <c r="B497" s="17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9" t="n"/>
      <c r="L497" s="19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7" t="n"/>
      <c r="V497" s="18" t="n"/>
      <c r="W497" s="20">
        <f>IF(U497="","",U497+Summary!$C$4)</f>
        <v/>
      </c>
      <c r="X497" s="16">
        <f>IF(OR(U497="",Y497="Removed",Y497="Deindexed only",Y497="No action needed"),"",TODAY()-U497)</f>
        <v/>
      </c>
      <c r="Y497" s="18" t="n"/>
      <c r="Z497" s="17" t="n"/>
      <c r="AA497" s="18" t="n"/>
      <c r="AB497" s="19" t="n"/>
    </row>
    <row r="498">
      <c r="A498" s="16">
        <f>IF(C498="","",ROW()-1)</f>
        <v/>
      </c>
      <c r="B498" s="17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9" t="n"/>
      <c r="L498" s="19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7" t="n"/>
      <c r="V498" s="18" t="n"/>
      <c r="W498" s="20">
        <f>IF(U498="","",U498+Summary!$C$4)</f>
        <v/>
      </c>
      <c r="X498" s="16">
        <f>IF(OR(U498="",Y498="Removed",Y498="Deindexed only",Y498="No action needed"),"",TODAY()-U498)</f>
        <v/>
      </c>
      <c r="Y498" s="18" t="n"/>
      <c r="Z498" s="17" t="n"/>
      <c r="AA498" s="18" t="n"/>
      <c r="AB498" s="19" t="n"/>
    </row>
    <row r="499">
      <c r="A499" s="16">
        <f>IF(C499="","",ROW()-1)</f>
        <v/>
      </c>
      <c r="B499" s="17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9" t="n"/>
      <c r="L499" s="19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7" t="n"/>
      <c r="V499" s="18" t="n"/>
      <c r="W499" s="20">
        <f>IF(U499="","",U499+Summary!$C$4)</f>
        <v/>
      </c>
      <c r="X499" s="16">
        <f>IF(OR(U499="",Y499="Removed",Y499="Deindexed only",Y499="No action needed"),"",TODAY()-U499)</f>
        <v/>
      </c>
      <c r="Y499" s="18" t="n"/>
      <c r="Z499" s="17" t="n"/>
      <c r="AA499" s="18" t="n"/>
      <c r="AB499" s="19" t="n"/>
    </row>
    <row r="500">
      <c r="A500" s="16">
        <f>IF(C500="","",ROW()-1)</f>
        <v/>
      </c>
      <c r="B500" s="17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9" t="n"/>
      <c r="L500" s="19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7" t="n"/>
      <c r="V500" s="18" t="n"/>
      <c r="W500" s="20">
        <f>IF(U500="","",U500+Summary!$C$4)</f>
        <v/>
      </c>
      <c r="X500" s="16">
        <f>IF(OR(U500="",Y500="Removed",Y500="Deindexed only",Y500="No action needed"),"",TODAY()-U500)</f>
        <v/>
      </c>
      <c r="Y500" s="18" t="n"/>
      <c r="Z500" s="17" t="n"/>
      <c r="AA500" s="18" t="n"/>
      <c r="AB500" s="19" t="n"/>
    </row>
    <row r="501">
      <c r="A501" s="16">
        <f>IF(C501="","",ROW()-1)</f>
        <v/>
      </c>
      <c r="B501" s="17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9" t="n"/>
      <c r="L501" s="19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7" t="n"/>
      <c r="V501" s="18" t="n"/>
      <c r="W501" s="20">
        <f>IF(U501="","",U501+Summary!$C$4)</f>
        <v/>
      </c>
      <c r="X501" s="16">
        <f>IF(OR(U501="",Y501="Removed",Y501="Deindexed only",Y501="No action needed"),"",TODAY()-U501)</f>
        <v/>
      </c>
      <c r="Y501" s="18" t="n"/>
      <c r="Z501" s="17" t="n"/>
      <c r="AA501" s="18" t="n"/>
      <c r="AB501" s="19" t="n"/>
    </row>
    <row r="502">
      <c r="A502" s="16">
        <f>IF(C502="","",ROW()-1)</f>
        <v/>
      </c>
      <c r="B502" s="17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9" t="n"/>
      <c r="L502" s="19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7" t="n"/>
      <c r="V502" s="18" t="n"/>
      <c r="W502" s="20">
        <f>IF(U502="","",U502+Summary!$C$4)</f>
        <v/>
      </c>
      <c r="X502" s="16">
        <f>IF(OR(U502="",Y502="Removed",Y502="Deindexed only",Y502="No action needed"),"",TODAY()-U502)</f>
        <v/>
      </c>
      <c r="Y502" s="18" t="n"/>
      <c r="Z502" s="17" t="n"/>
      <c r="AA502" s="18" t="n"/>
      <c r="AB502" s="19" t="n"/>
    </row>
    <row r="503">
      <c r="A503" s="16">
        <f>IF(C503="","",ROW()-1)</f>
        <v/>
      </c>
      <c r="B503" s="17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9" t="n"/>
      <c r="L503" s="19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7" t="n"/>
      <c r="V503" s="18" t="n"/>
      <c r="W503" s="20">
        <f>IF(U503="","",U503+Summary!$C$4)</f>
        <v/>
      </c>
      <c r="X503" s="16">
        <f>IF(OR(U503="",Y503="Removed",Y503="Deindexed only",Y503="No action needed"),"",TODAY()-U503)</f>
        <v/>
      </c>
      <c r="Y503" s="18" t="n"/>
      <c r="Z503" s="17" t="n"/>
      <c r="AA503" s="18" t="n"/>
      <c r="AB503" s="19" t="n"/>
    </row>
    <row r="504">
      <c r="A504" s="16">
        <f>IF(C504="","",ROW()-1)</f>
        <v/>
      </c>
      <c r="B504" s="17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9" t="n"/>
      <c r="L504" s="19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7" t="n"/>
      <c r="V504" s="18" t="n"/>
      <c r="W504" s="20">
        <f>IF(U504="","",U504+Summary!$C$4)</f>
        <v/>
      </c>
      <c r="X504" s="16">
        <f>IF(OR(U504="",Y504="Removed",Y504="Deindexed only",Y504="No action needed"),"",TODAY()-U504)</f>
        <v/>
      </c>
      <c r="Y504" s="18" t="n"/>
      <c r="Z504" s="17" t="n"/>
      <c r="AA504" s="18" t="n"/>
      <c r="AB504" s="19" t="n"/>
    </row>
    <row r="505">
      <c r="A505" s="16">
        <f>IF(C505="","",ROW()-1)</f>
        <v/>
      </c>
      <c r="B505" s="17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9" t="n"/>
      <c r="L505" s="19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7" t="n"/>
      <c r="V505" s="18" t="n"/>
      <c r="W505" s="20">
        <f>IF(U505="","",U505+Summary!$C$4)</f>
        <v/>
      </c>
      <c r="X505" s="16">
        <f>IF(OR(U505="",Y505="Removed",Y505="Deindexed only",Y505="No action needed"),"",TODAY()-U505)</f>
        <v/>
      </c>
      <c r="Y505" s="18" t="n"/>
      <c r="Z505" s="17" t="n"/>
      <c r="AA505" s="18" t="n"/>
      <c r="AB505" s="19" t="n"/>
    </row>
    <row r="506">
      <c r="A506" s="16">
        <f>IF(C506="","",ROW()-1)</f>
        <v/>
      </c>
      <c r="B506" s="17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9" t="n"/>
      <c r="L506" s="19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7" t="n"/>
      <c r="V506" s="18" t="n"/>
      <c r="W506" s="20">
        <f>IF(U506="","",U506+Summary!$C$4)</f>
        <v/>
      </c>
      <c r="X506" s="16">
        <f>IF(OR(U506="",Y506="Removed",Y506="Deindexed only",Y506="No action needed"),"",TODAY()-U506)</f>
        <v/>
      </c>
      <c r="Y506" s="18" t="n"/>
      <c r="Z506" s="17" t="n"/>
      <c r="AA506" s="18" t="n"/>
      <c r="AB506" s="19" t="n"/>
    </row>
    <row r="507">
      <c r="A507" s="16">
        <f>IF(C507="","",ROW()-1)</f>
        <v/>
      </c>
      <c r="B507" s="17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9" t="n"/>
      <c r="L507" s="19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7" t="n"/>
      <c r="V507" s="18" t="n"/>
      <c r="W507" s="20">
        <f>IF(U507="","",U507+Summary!$C$4)</f>
        <v/>
      </c>
      <c r="X507" s="16">
        <f>IF(OR(U507="",Y507="Removed",Y507="Deindexed only",Y507="No action needed"),"",TODAY()-U507)</f>
        <v/>
      </c>
      <c r="Y507" s="18" t="n"/>
      <c r="Z507" s="17" t="n"/>
      <c r="AA507" s="18" t="n"/>
      <c r="AB507" s="19" t="n"/>
    </row>
    <row r="508">
      <c r="A508" s="16">
        <f>IF(C508="","",ROW()-1)</f>
        <v/>
      </c>
      <c r="B508" s="17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9" t="n"/>
      <c r="L508" s="19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7" t="n"/>
      <c r="V508" s="18" t="n"/>
      <c r="W508" s="20">
        <f>IF(U508="","",U508+Summary!$C$4)</f>
        <v/>
      </c>
      <c r="X508" s="16">
        <f>IF(OR(U508="",Y508="Removed",Y508="Deindexed only",Y508="No action needed"),"",TODAY()-U508)</f>
        <v/>
      </c>
      <c r="Y508" s="18" t="n"/>
      <c r="Z508" s="17" t="n"/>
      <c r="AA508" s="18" t="n"/>
      <c r="AB508" s="19" t="n"/>
    </row>
    <row r="509">
      <c r="A509" s="16">
        <f>IF(C509="","",ROW()-1)</f>
        <v/>
      </c>
      <c r="B509" s="17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9" t="n"/>
      <c r="L509" s="19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7" t="n"/>
      <c r="V509" s="18" t="n"/>
      <c r="W509" s="20">
        <f>IF(U509="","",U509+Summary!$C$4)</f>
        <v/>
      </c>
      <c r="X509" s="16">
        <f>IF(OR(U509="",Y509="Removed",Y509="Deindexed only",Y509="No action needed"),"",TODAY()-U509)</f>
        <v/>
      </c>
      <c r="Y509" s="18" t="n"/>
      <c r="Z509" s="17" t="n"/>
      <c r="AA509" s="18" t="n"/>
      <c r="AB509" s="19" t="n"/>
    </row>
    <row r="510">
      <c r="A510" s="16">
        <f>IF(C510="","",ROW()-1)</f>
        <v/>
      </c>
      <c r="B510" s="17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9" t="n"/>
      <c r="L510" s="19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7" t="n"/>
      <c r="V510" s="18" t="n"/>
      <c r="W510" s="20">
        <f>IF(U510="","",U510+Summary!$C$4)</f>
        <v/>
      </c>
      <c r="X510" s="16">
        <f>IF(OR(U510="",Y510="Removed",Y510="Deindexed only",Y510="No action needed"),"",TODAY()-U510)</f>
        <v/>
      </c>
      <c r="Y510" s="18" t="n"/>
      <c r="Z510" s="17" t="n"/>
      <c r="AA510" s="18" t="n"/>
      <c r="AB510" s="19" t="n"/>
    </row>
    <row r="511">
      <c r="A511" s="16">
        <f>IF(C511="","",ROW()-1)</f>
        <v/>
      </c>
      <c r="B511" s="17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9" t="n"/>
      <c r="L511" s="19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7" t="n"/>
      <c r="V511" s="18" t="n"/>
      <c r="W511" s="20">
        <f>IF(U511="","",U511+Summary!$C$4)</f>
        <v/>
      </c>
      <c r="X511" s="16">
        <f>IF(OR(U511="",Y511="Removed",Y511="Deindexed only",Y511="No action needed"),"",TODAY()-U511)</f>
        <v/>
      </c>
      <c r="Y511" s="18" t="n"/>
      <c r="Z511" s="17" t="n"/>
      <c r="AA511" s="18" t="n"/>
      <c r="AB511" s="19" t="n"/>
    </row>
    <row r="512">
      <c r="A512" s="16">
        <f>IF(C512="","",ROW()-1)</f>
        <v/>
      </c>
      <c r="B512" s="17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9" t="n"/>
      <c r="L512" s="19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7" t="n"/>
      <c r="V512" s="18" t="n"/>
      <c r="W512" s="20">
        <f>IF(U512="","",U512+Summary!$C$4)</f>
        <v/>
      </c>
      <c r="X512" s="16">
        <f>IF(OR(U512="",Y512="Removed",Y512="Deindexed only",Y512="No action needed"),"",TODAY()-U512)</f>
        <v/>
      </c>
      <c r="Y512" s="18" t="n"/>
      <c r="Z512" s="17" t="n"/>
      <c r="AA512" s="18" t="n"/>
      <c r="AB512" s="19" t="n"/>
    </row>
    <row r="513">
      <c r="A513" s="16">
        <f>IF(C513="","",ROW()-1)</f>
        <v/>
      </c>
      <c r="B513" s="17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9" t="n"/>
      <c r="L513" s="19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7" t="n"/>
      <c r="V513" s="18" t="n"/>
      <c r="W513" s="20">
        <f>IF(U513="","",U513+Summary!$C$4)</f>
        <v/>
      </c>
      <c r="X513" s="16">
        <f>IF(OR(U513="",Y513="Removed",Y513="Deindexed only",Y513="No action needed"),"",TODAY()-U513)</f>
        <v/>
      </c>
      <c r="Y513" s="18" t="n"/>
      <c r="Z513" s="17" t="n"/>
      <c r="AA513" s="18" t="n"/>
      <c r="AB513" s="19" t="n"/>
    </row>
    <row r="514">
      <c r="A514" s="16">
        <f>IF(C514="","",ROW()-1)</f>
        <v/>
      </c>
      <c r="B514" s="17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9" t="n"/>
      <c r="L514" s="19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7" t="n"/>
      <c r="V514" s="18" t="n"/>
      <c r="W514" s="20">
        <f>IF(U514="","",U514+Summary!$C$4)</f>
        <v/>
      </c>
      <c r="X514" s="16">
        <f>IF(OR(U514="",Y514="Removed",Y514="Deindexed only",Y514="No action needed"),"",TODAY()-U514)</f>
        <v/>
      </c>
      <c r="Y514" s="18" t="n"/>
      <c r="Z514" s="17" t="n"/>
      <c r="AA514" s="18" t="n"/>
      <c r="AB514" s="19" t="n"/>
    </row>
    <row r="515">
      <c r="A515" s="16">
        <f>IF(C515="","",ROW()-1)</f>
        <v/>
      </c>
      <c r="B515" s="17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9" t="n"/>
      <c r="L515" s="19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7" t="n"/>
      <c r="V515" s="18" t="n"/>
      <c r="W515" s="20">
        <f>IF(U515="","",U515+Summary!$C$4)</f>
        <v/>
      </c>
      <c r="X515" s="16">
        <f>IF(OR(U515="",Y515="Removed",Y515="Deindexed only",Y515="No action needed"),"",TODAY()-U515)</f>
        <v/>
      </c>
      <c r="Y515" s="18" t="n"/>
      <c r="Z515" s="17" t="n"/>
      <c r="AA515" s="18" t="n"/>
      <c r="AB515" s="19" t="n"/>
    </row>
    <row r="516">
      <c r="A516" s="16">
        <f>IF(C516="","",ROW()-1)</f>
        <v/>
      </c>
      <c r="B516" s="17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9" t="n"/>
      <c r="L516" s="19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7" t="n"/>
      <c r="V516" s="18" t="n"/>
      <c r="W516" s="20">
        <f>IF(U516="","",U516+Summary!$C$4)</f>
        <v/>
      </c>
      <c r="X516" s="16">
        <f>IF(OR(U516="",Y516="Removed",Y516="Deindexed only",Y516="No action needed"),"",TODAY()-U516)</f>
        <v/>
      </c>
      <c r="Y516" s="18" t="n"/>
      <c r="Z516" s="17" t="n"/>
      <c r="AA516" s="18" t="n"/>
      <c r="AB516" s="19" t="n"/>
    </row>
    <row r="517">
      <c r="A517" s="16">
        <f>IF(C517="","",ROW()-1)</f>
        <v/>
      </c>
      <c r="B517" s="17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9" t="n"/>
      <c r="L517" s="19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7" t="n"/>
      <c r="V517" s="18" t="n"/>
      <c r="W517" s="20">
        <f>IF(U517="","",U517+Summary!$C$4)</f>
        <v/>
      </c>
      <c r="X517" s="16">
        <f>IF(OR(U517="",Y517="Removed",Y517="Deindexed only",Y517="No action needed"),"",TODAY()-U517)</f>
        <v/>
      </c>
      <c r="Y517" s="18" t="n"/>
      <c r="Z517" s="17" t="n"/>
      <c r="AA517" s="18" t="n"/>
      <c r="AB517" s="19" t="n"/>
    </row>
    <row r="518">
      <c r="A518" s="16">
        <f>IF(C518="","",ROW()-1)</f>
        <v/>
      </c>
      <c r="B518" s="17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9" t="n"/>
      <c r="L518" s="19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7" t="n"/>
      <c r="V518" s="18" t="n"/>
      <c r="W518" s="20">
        <f>IF(U518="","",U518+Summary!$C$4)</f>
        <v/>
      </c>
      <c r="X518" s="16">
        <f>IF(OR(U518="",Y518="Removed",Y518="Deindexed only",Y518="No action needed"),"",TODAY()-U518)</f>
        <v/>
      </c>
      <c r="Y518" s="18" t="n"/>
      <c r="Z518" s="17" t="n"/>
      <c r="AA518" s="18" t="n"/>
      <c r="AB518" s="19" t="n"/>
    </row>
    <row r="519">
      <c r="A519" s="16">
        <f>IF(C519="","",ROW()-1)</f>
        <v/>
      </c>
      <c r="B519" s="17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9" t="n"/>
      <c r="L519" s="19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7" t="n"/>
      <c r="V519" s="18" t="n"/>
      <c r="W519" s="20">
        <f>IF(U519="","",U519+Summary!$C$4)</f>
        <v/>
      </c>
      <c r="X519" s="16">
        <f>IF(OR(U519="",Y519="Removed",Y519="Deindexed only",Y519="No action needed"),"",TODAY()-U519)</f>
        <v/>
      </c>
      <c r="Y519" s="18" t="n"/>
      <c r="Z519" s="17" t="n"/>
      <c r="AA519" s="18" t="n"/>
      <c r="AB519" s="19" t="n"/>
    </row>
    <row r="520">
      <c r="A520" s="16">
        <f>IF(C520="","",ROW()-1)</f>
        <v/>
      </c>
      <c r="B520" s="17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9" t="n"/>
      <c r="L520" s="19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7" t="n"/>
      <c r="V520" s="18" t="n"/>
      <c r="W520" s="20">
        <f>IF(U520="","",U520+Summary!$C$4)</f>
        <v/>
      </c>
      <c r="X520" s="16">
        <f>IF(OR(U520="",Y520="Removed",Y520="Deindexed only",Y520="No action needed"),"",TODAY()-U520)</f>
        <v/>
      </c>
      <c r="Y520" s="18" t="n"/>
      <c r="Z520" s="17" t="n"/>
      <c r="AA520" s="18" t="n"/>
      <c r="AB520" s="19" t="n"/>
    </row>
    <row r="521">
      <c r="A521" s="16">
        <f>IF(C521="","",ROW()-1)</f>
        <v/>
      </c>
      <c r="B521" s="17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9" t="n"/>
      <c r="L521" s="19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7" t="n"/>
      <c r="V521" s="18" t="n"/>
      <c r="W521" s="20">
        <f>IF(U521="","",U521+Summary!$C$4)</f>
        <v/>
      </c>
      <c r="X521" s="16">
        <f>IF(OR(U521="",Y521="Removed",Y521="Deindexed only",Y521="No action needed"),"",TODAY()-U521)</f>
        <v/>
      </c>
      <c r="Y521" s="18" t="n"/>
      <c r="Z521" s="17" t="n"/>
      <c r="AA521" s="18" t="n"/>
      <c r="AB521" s="19" t="n"/>
    </row>
    <row r="522">
      <c r="A522" s="16">
        <f>IF(C522="","",ROW()-1)</f>
        <v/>
      </c>
      <c r="B522" s="17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9" t="n"/>
      <c r="L522" s="19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7" t="n"/>
      <c r="V522" s="18" t="n"/>
      <c r="W522" s="20">
        <f>IF(U522="","",U522+Summary!$C$4)</f>
        <v/>
      </c>
      <c r="X522" s="16">
        <f>IF(OR(U522="",Y522="Removed",Y522="Deindexed only",Y522="No action needed"),"",TODAY()-U522)</f>
        <v/>
      </c>
      <c r="Y522" s="18" t="n"/>
      <c r="Z522" s="17" t="n"/>
      <c r="AA522" s="18" t="n"/>
      <c r="AB522" s="19" t="n"/>
    </row>
    <row r="523">
      <c r="A523" s="16">
        <f>IF(C523="","",ROW()-1)</f>
        <v/>
      </c>
      <c r="B523" s="17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9" t="n"/>
      <c r="L523" s="19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7" t="n"/>
      <c r="V523" s="18" t="n"/>
      <c r="W523" s="20">
        <f>IF(U523="","",U523+Summary!$C$4)</f>
        <v/>
      </c>
      <c r="X523" s="16">
        <f>IF(OR(U523="",Y523="Removed",Y523="Deindexed only",Y523="No action needed"),"",TODAY()-U523)</f>
        <v/>
      </c>
      <c r="Y523" s="18" t="n"/>
      <c r="Z523" s="17" t="n"/>
      <c r="AA523" s="18" t="n"/>
      <c r="AB523" s="19" t="n"/>
    </row>
    <row r="524">
      <c r="A524" s="16">
        <f>IF(C524="","",ROW()-1)</f>
        <v/>
      </c>
      <c r="B524" s="17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9" t="n"/>
      <c r="L524" s="19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7" t="n"/>
      <c r="V524" s="18" t="n"/>
      <c r="W524" s="20">
        <f>IF(U524="","",U524+Summary!$C$4)</f>
        <v/>
      </c>
      <c r="X524" s="16">
        <f>IF(OR(U524="",Y524="Removed",Y524="Deindexed only",Y524="No action needed"),"",TODAY()-U524)</f>
        <v/>
      </c>
      <c r="Y524" s="18" t="n"/>
      <c r="Z524" s="17" t="n"/>
      <c r="AA524" s="18" t="n"/>
      <c r="AB524" s="19" t="n"/>
    </row>
    <row r="525">
      <c r="A525" s="16">
        <f>IF(C525="","",ROW()-1)</f>
        <v/>
      </c>
      <c r="B525" s="17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9" t="n"/>
      <c r="L525" s="19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7" t="n"/>
      <c r="V525" s="18" t="n"/>
      <c r="W525" s="20">
        <f>IF(U525="","",U525+Summary!$C$4)</f>
        <v/>
      </c>
      <c r="X525" s="16">
        <f>IF(OR(U525="",Y525="Removed",Y525="Deindexed only",Y525="No action needed"),"",TODAY()-U525)</f>
        <v/>
      </c>
      <c r="Y525" s="18" t="n"/>
      <c r="Z525" s="17" t="n"/>
      <c r="AA525" s="18" t="n"/>
      <c r="AB525" s="19" t="n"/>
    </row>
    <row r="526">
      <c r="A526" s="16">
        <f>IF(C526="","",ROW()-1)</f>
        <v/>
      </c>
      <c r="B526" s="17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9" t="n"/>
      <c r="L526" s="19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7" t="n"/>
      <c r="V526" s="18" t="n"/>
      <c r="W526" s="20">
        <f>IF(U526="","",U526+Summary!$C$4)</f>
        <v/>
      </c>
      <c r="X526" s="16">
        <f>IF(OR(U526="",Y526="Removed",Y526="Deindexed only",Y526="No action needed"),"",TODAY()-U526)</f>
        <v/>
      </c>
      <c r="Y526" s="18" t="n"/>
      <c r="Z526" s="17" t="n"/>
      <c r="AA526" s="18" t="n"/>
      <c r="AB526" s="19" t="n"/>
    </row>
    <row r="527">
      <c r="A527" s="16">
        <f>IF(C527="","",ROW()-1)</f>
        <v/>
      </c>
      <c r="B527" s="17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9" t="n"/>
      <c r="L527" s="19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7" t="n"/>
      <c r="V527" s="18" t="n"/>
      <c r="W527" s="20">
        <f>IF(U527="","",U527+Summary!$C$4)</f>
        <v/>
      </c>
      <c r="X527" s="16">
        <f>IF(OR(U527="",Y527="Removed",Y527="Deindexed only",Y527="No action needed"),"",TODAY()-U527)</f>
        <v/>
      </c>
      <c r="Y527" s="18" t="n"/>
      <c r="Z527" s="17" t="n"/>
      <c r="AA527" s="18" t="n"/>
      <c r="AB527" s="19" t="n"/>
    </row>
    <row r="528">
      <c r="A528" s="16">
        <f>IF(C528="","",ROW()-1)</f>
        <v/>
      </c>
      <c r="B528" s="17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9" t="n"/>
      <c r="L528" s="19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7" t="n"/>
      <c r="V528" s="18" t="n"/>
      <c r="W528" s="20">
        <f>IF(U528="","",U528+Summary!$C$4)</f>
        <v/>
      </c>
      <c r="X528" s="16">
        <f>IF(OR(U528="",Y528="Removed",Y528="Deindexed only",Y528="No action needed"),"",TODAY()-U528)</f>
        <v/>
      </c>
      <c r="Y528" s="18" t="n"/>
      <c r="Z528" s="17" t="n"/>
      <c r="AA528" s="18" t="n"/>
      <c r="AB528" s="19" t="n"/>
    </row>
    <row r="529">
      <c r="A529" s="16">
        <f>IF(C529="","",ROW()-1)</f>
        <v/>
      </c>
      <c r="B529" s="17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9" t="n"/>
      <c r="L529" s="19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7" t="n"/>
      <c r="V529" s="18" t="n"/>
      <c r="W529" s="20">
        <f>IF(U529="","",U529+Summary!$C$4)</f>
        <v/>
      </c>
      <c r="X529" s="16">
        <f>IF(OR(U529="",Y529="Removed",Y529="Deindexed only",Y529="No action needed"),"",TODAY()-U529)</f>
        <v/>
      </c>
      <c r="Y529" s="18" t="n"/>
      <c r="Z529" s="17" t="n"/>
      <c r="AA529" s="18" t="n"/>
      <c r="AB529" s="19" t="n"/>
    </row>
    <row r="530">
      <c r="A530" s="16">
        <f>IF(C530="","",ROW()-1)</f>
        <v/>
      </c>
      <c r="B530" s="17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9" t="n"/>
      <c r="L530" s="19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7" t="n"/>
      <c r="V530" s="18" t="n"/>
      <c r="W530" s="20">
        <f>IF(U530="","",U530+Summary!$C$4)</f>
        <v/>
      </c>
      <c r="X530" s="16">
        <f>IF(OR(U530="",Y530="Removed",Y530="Deindexed only",Y530="No action needed"),"",TODAY()-U530)</f>
        <v/>
      </c>
      <c r="Y530" s="18" t="n"/>
      <c r="Z530" s="17" t="n"/>
      <c r="AA530" s="18" t="n"/>
      <c r="AB530" s="19" t="n"/>
    </row>
    <row r="531">
      <c r="A531" s="16">
        <f>IF(C531="","",ROW()-1)</f>
        <v/>
      </c>
      <c r="B531" s="17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9" t="n"/>
      <c r="L531" s="19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7" t="n"/>
      <c r="V531" s="18" t="n"/>
      <c r="W531" s="20">
        <f>IF(U531="","",U531+Summary!$C$4)</f>
        <v/>
      </c>
      <c r="X531" s="16">
        <f>IF(OR(U531="",Y531="Removed",Y531="Deindexed only",Y531="No action needed"),"",TODAY()-U531)</f>
        <v/>
      </c>
      <c r="Y531" s="18" t="n"/>
      <c r="Z531" s="17" t="n"/>
      <c r="AA531" s="18" t="n"/>
      <c r="AB531" s="19" t="n"/>
    </row>
    <row r="532">
      <c r="A532" s="16">
        <f>IF(C532="","",ROW()-1)</f>
        <v/>
      </c>
      <c r="B532" s="17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9" t="n"/>
      <c r="L532" s="19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7" t="n"/>
      <c r="V532" s="18" t="n"/>
      <c r="W532" s="20">
        <f>IF(U532="","",U532+Summary!$C$4)</f>
        <v/>
      </c>
      <c r="X532" s="16">
        <f>IF(OR(U532="",Y532="Removed",Y532="Deindexed only",Y532="No action needed"),"",TODAY()-U532)</f>
        <v/>
      </c>
      <c r="Y532" s="18" t="n"/>
      <c r="Z532" s="17" t="n"/>
      <c r="AA532" s="18" t="n"/>
      <c r="AB532" s="19" t="n"/>
    </row>
    <row r="533">
      <c r="A533" s="16">
        <f>IF(C533="","",ROW()-1)</f>
        <v/>
      </c>
      <c r="B533" s="17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9" t="n"/>
      <c r="L533" s="19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7" t="n"/>
      <c r="V533" s="18" t="n"/>
      <c r="W533" s="20">
        <f>IF(U533="","",U533+Summary!$C$4)</f>
        <v/>
      </c>
      <c r="X533" s="16">
        <f>IF(OR(U533="",Y533="Removed",Y533="Deindexed only",Y533="No action needed"),"",TODAY()-U533)</f>
        <v/>
      </c>
      <c r="Y533" s="18" t="n"/>
      <c r="Z533" s="17" t="n"/>
      <c r="AA533" s="18" t="n"/>
      <c r="AB533" s="19" t="n"/>
    </row>
    <row r="534">
      <c r="A534" s="16">
        <f>IF(C534="","",ROW()-1)</f>
        <v/>
      </c>
      <c r="B534" s="17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9" t="n"/>
      <c r="L534" s="19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7" t="n"/>
      <c r="V534" s="18" t="n"/>
      <c r="W534" s="20">
        <f>IF(U534="","",U534+Summary!$C$4)</f>
        <v/>
      </c>
      <c r="X534" s="16">
        <f>IF(OR(U534="",Y534="Removed",Y534="Deindexed only",Y534="No action needed"),"",TODAY()-U534)</f>
        <v/>
      </c>
      <c r="Y534" s="18" t="n"/>
      <c r="Z534" s="17" t="n"/>
      <c r="AA534" s="18" t="n"/>
      <c r="AB534" s="19" t="n"/>
    </row>
    <row r="535">
      <c r="A535" s="16">
        <f>IF(C535="","",ROW()-1)</f>
        <v/>
      </c>
      <c r="B535" s="17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9" t="n"/>
      <c r="L535" s="19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7" t="n"/>
      <c r="V535" s="18" t="n"/>
      <c r="W535" s="20">
        <f>IF(U535="","",U535+Summary!$C$4)</f>
        <v/>
      </c>
      <c r="X535" s="16">
        <f>IF(OR(U535="",Y535="Removed",Y535="Deindexed only",Y535="No action needed"),"",TODAY()-U535)</f>
        <v/>
      </c>
      <c r="Y535" s="18" t="n"/>
      <c r="Z535" s="17" t="n"/>
      <c r="AA535" s="18" t="n"/>
      <c r="AB535" s="19" t="n"/>
    </row>
    <row r="536">
      <c r="A536" s="16">
        <f>IF(C536="","",ROW()-1)</f>
        <v/>
      </c>
      <c r="B536" s="17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9" t="n"/>
      <c r="L536" s="19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7" t="n"/>
      <c r="V536" s="18" t="n"/>
      <c r="W536" s="20">
        <f>IF(U536="","",U536+Summary!$C$4)</f>
        <v/>
      </c>
      <c r="X536" s="16">
        <f>IF(OR(U536="",Y536="Removed",Y536="Deindexed only",Y536="No action needed"),"",TODAY()-U536)</f>
        <v/>
      </c>
      <c r="Y536" s="18" t="n"/>
      <c r="Z536" s="17" t="n"/>
      <c r="AA536" s="18" t="n"/>
      <c r="AB536" s="19" t="n"/>
    </row>
    <row r="537">
      <c r="A537" s="16">
        <f>IF(C537="","",ROW()-1)</f>
        <v/>
      </c>
      <c r="B537" s="17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9" t="n"/>
      <c r="L537" s="19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7" t="n"/>
      <c r="V537" s="18" t="n"/>
      <c r="W537" s="20">
        <f>IF(U537="","",U537+Summary!$C$4)</f>
        <v/>
      </c>
      <c r="X537" s="16">
        <f>IF(OR(U537="",Y537="Removed",Y537="Deindexed only",Y537="No action needed"),"",TODAY()-U537)</f>
        <v/>
      </c>
      <c r="Y537" s="18" t="n"/>
      <c r="Z537" s="17" t="n"/>
      <c r="AA537" s="18" t="n"/>
      <c r="AB537" s="19" t="n"/>
    </row>
    <row r="538">
      <c r="A538" s="16">
        <f>IF(C538="","",ROW()-1)</f>
        <v/>
      </c>
      <c r="B538" s="17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9" t="n"/>
      <c r="L538" s="19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7" t="n"/>
      <c r="V538" s="18" t="n"/>
      <c r="W538" s="20">
        <f>IF(U538="","",U538+Summary!$C$4)</f>
        <v/>
      </c>
      <c r="X538" s="16">
        <f>IF(OR(U538="",Y538="Removed",Y538="Deindexed only",Y538="No action needed"),"",TODAY()-U538)</f>
        <v/>
      </c>
      <c r="Y538" s="18" t="n"/>
      <c r="Z538" s="17" t="n"/>
      <c r="AA538" s="18" t="n"/>
      <c r="AB538" s="19" t="n"/>
    </row>
    <row r="539">
      <c r="A539" s="16">
        <f>IF(C539="","",ROW()-1)</f>
        <v/>
      </c>
      <c r="B539" s="17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9" t="n"/>
      <c r="L539" s="19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7" t="n"/>
      <c r="V539" s="18" t="n"/>
      <c r="W539" s="20">
        <f>IF(U539="","",U539+Summary!$C$4)</f>
        <v/>
      </c>
      <c r="X539" s="16">
        <f>IF(OR(U539="",Y539="Removed",Y539="Deindexed only",Y539="No action needed"),"",TODAY()-U539)</f>
        <v/>
      </c>
      <c r="Y539" s="18" t="n"/>
      <c r="Z539" s="17" t="n"/>
      <c r="AA539" s="18" t="n"/>
      <c r="AB539" s="19" t="n"/>
    </row>
    <row r="540">
      <c r="A540" s="16">
        <f>IF(C540="","",ROW()-1)</f>
        <v/>
      </c>
      <c r="B540" s="17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9" t="n"/>
      <c r="L540" s="19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7" t="n"/>
      <c r="V540" s="18" t="n"/>
      <c r="W540" s="20">
        <f>IF(U540="","",U540+Summary!$C$4)</f>
        <v/>
      </c>
      <c r="X540" s="16">
        <f>IF(OR(U540="",Y540="Removed",Y540="Deindexed only",Y540="No action needed"),"",TODAY()-U540)</f>
        <v/>
      </c>
      <c r="Y540" s="18" t="n"/>
      <c r="Z540" s="17" t="n"/>
      <c r="AA540" s="18" t="n"/>
      <c r="AB540" s="19" t="n"/>
    </row>
    <row r="541">
      <c r="A541" s="16">
        <f>IF(C541="","",ROW()-1)</f>
        <v/>
      </c>
      <c r="B541" s="17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9" t="n"/>
      <c r="L541" s="19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7" t="n"/>
      <c r="V541" s="18" t="n"/>
      <c r="W541" s="20">
        <f>IF(U541="","",U541+Summary!$C$4)</f>
        <v/>
      </c>
      <c r="X541" s="16">
        <f>IF(OR(U541="",Y541="Removed",Y541="Deindexed only",Y541="No action needed"),"",TODAY()-U541)</f>
        <v/>
      </c>
      <c r="Y541" s="18" t="n"/>
      <c r="Z541" s="17" t="n"/>
      <c r="AA541" s="18" t="n"/>
      <c r="AB541" s="19" t="n"/>
    </row>
    <row r="542">
      <c r="A542" s="16">
        <f>IF(C542="","",ROW()-1)</f>
        <v/>
      </c>
      <c r="B542" s="17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9" t="n"/>
      <c r="L542" s="19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7" t="n"/>
      <c r="V542" s="18" t="n"/>
      <c r="W542" s="20">
        <f>IF(U542="","",U542+Summary!$C$4)</f>
        <v/>
      </c>
      <c r="X542" s="16">
        <f>IF(OR(U542="",Y542="Removed",Y542="Deindexed only",Y542="No action needed"),"",TODAY()-U542)</f>
        <v/>
      </c>
      <c r="Y542" s="18" t="n"/>
      <c r="Z542" s="17" t="n"/>
      <c r="AA542" s="18" t="n"/>
      <c r="AB542" s="19" t="n"/>
    </row>
    <row r="543">
      <c r="A543" s="16">
        <f>IF(C543="","",ROW()-1)</f>
        <v/>
      </c>
      <c r="B543" s="17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9" t="n"/>
      <c r="L543" s="19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7" t="n"/>
      <c r="V543" s="18" t="n"/>
      <c r="W543" s="20">
        <f>IF(U543="","",U543+Summary!$C$4)</f>
        <v/>
      </c>
      <c r="X543" s="16">
        <f>IF(OR(U543="",Y543="Removed",Y543="Deindexed only",Y543="No action needed"),"",TODAY()-U543)</f>
        <v/>
      </c>
      <c r="Y543" s="18" t="n"/>
      <c r="Z543" s="17" t="n"/>
      <c r="AA543" s="18" t="n"/>
      <c r="AB543" s="19" t="n"/>
    </row>
    <row r="544">
      <c r="A544" s="16">
        <f>IF(C544="","",ROW()-1)</f>
        <v/>
      </c>
      <c r="B544" s="17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9" t="n"/>
      <c r="L544" s="19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7" t="n"/>
      <c r="V544" s="18" t="n"/>
      <c r="W544" s="20">
        <f>IF(U544="","",U544+Summary!$C$4)</f>
        <v/>
      </c>
      <c r="X544" s="16">
        <f>IF(OR(U544="",Y544="Removed",Y544="Deindexed only",Y544="No action needed"),"",TODAY()-U544)</f>
        <v/>
      </c>
      <c r="Y544" s="18" t="n"/>
      <c r="Z544" s="17" t="n"/>
      <c r="AA544" s="18" t="n"/>
      <c r="AB544" s="19" t="n"/>
    </row>
    <row r="545">
      <c r="A545" s="16">
        <f>IF(C545="","",ROW()-1)</f>
        <v/>
      </c>
      <c r="B545" s="17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9" t="n"/>
      <c r="L545" s="19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7" t="n"/>
      <c r="V545" s="18" t="n"/>
      <c r="W545" s="20">
        <f>IF(U545="","",U545+Summary!$C$4)</f>
        <v/>
      </c>
      <c r="X545" s="16">
        <f>IF(OR(U545="",Y545="Removed",Y545="Deindexed only",Y545="No action needed"),"",TODAY()-U545)</f>
        <v/>
      </c>
      <c r="Y545" s="18" t="n"/>
      <c r="Z545" s="17" t="n"/>
      <c r="AA545" s="18" t="n"/>
      <c r="AB545" s="19" t="n"/>
    </row>
    <row r="546">
      <c r="A546" s="16">
        <f>IF(C546="","",ROW()-1)</f>
        <v/>
      </c>
      <c r="B546" s="17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9" t="n"/>
      <c r="L546" s="19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7" t="n"/>
      <c r="V546" s="18" t="n"/>
      <c r="W546" s="20">
        <f>IF(U546="","",U546+Summary!$C$4)</f>
        <v/>
      </c>
      <c r="X546" s="16">
        <f>IF(OR(U546="",Y546="Removed",Y546="Deindexed only",Y546="No action needed"),"",TODAY()-U546)</f>
        <v/>
      </c>
      <c r="Y546" s="18" t="n"/>
      <c r="Z546" s="17" t="n"/>
      <c r="AA546" s="18" t="n"/>
      <c r="AB546" s="19" t="n"/>
    </row>
    <row r="547">
      <c r="A547" s="16">
        <f>IF(C547="","",ROW()-1)</f>
        <v/>
      </c>
      <c r="B547" s="17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9" t="n"/>
      <c r="L547" s="19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7" t="n"/>
      <c r="V547" s="18" t="n"/>
      <c r="W547" s="20">
        <f>IF(U547="","",U547+Summary!$C$4)</f>
        <v/>
      </c>
      <c r="X547" s="16">
        <f>IF(OR(U547="",Y547="Removed",Y547="Deindexed only",Y547="No action needed"),"",TODAY()-U547)</f>
        <v/>
      </c>
      <c r="Y547" s="18" t="n"/>
      <c r="Z547" s="17" t="n"/>
      <c r="AA547" s="18" t="n"/>
      <c r="AB547" s="19" t="n"/>
    </row>
    <row r="548">
      <c r="A548" s="16">
        <f>IF(C548="","",ROW()-1)</f>
        <v/>
      </c>
      <c r="B548" s="17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9" t="n"/>
      <c r="L548" s="19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7" t="n"/>
      <c r="V548" s="18" t="n"/>
      <c r="W548" s="20">
        <f>IF(U548="","",U548+Summary!$C$4)</f>
        <v/>
      </c>
      <c r="X548" s="16">
        <f>IF(OR(U548="",Y548="Removed",Y548="Deindexed only",Y548="No action needed"),"",TODAY()-U548)</f>
        <v/>
      </c>
      <c r="Y548" s="18" t="n"/>
      <c r="Z548" s="17" t="n"/>
      <c r="AA548" s="18" t="n"/>
      <c r="AB548" s="19" t="n"/>
    </row>
    <row r="549">
      <c r="A549" s="16">
        <f>IF(C549="","",ROW()-1)</f>
        <v/>
      </c>
      <c r="B549" s="17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9" t="n"/>
      <c r="L549" s="19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7" t="n"/>
      <c r="V549" s="18" t="n"/>
      <c r="W549" s="20">
        <f>IF(U549="","",U549+Summary!$C$4)</f>
        <v/>
      </c>
      <c r="X549" s="16">
        <f>IF(OR(U549="",Y549="Removed",Y549="Deindexed only",Y549="No action needed"),"",TODAY()-U549)</f>
        <v/>
      </c>
      <c r="Y549" s="18" t="n"/>
      <c r="Z549" s="17" t="n"/>
      <c r="AA549" s="18" t="n"/>
      <c r="AB549" s="19" t="n"/>
    </row>
    <row r="550">
      <c r="A550" s="16">
        <f>IF(C550="","",ROW()-1)</f>
        <v/>
      </c>
      <c r="B550" s="17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9" t="n"/>
      <c r="L550" s="19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7" t="n"/>
      <c r="V550" s="18" t="n"/>
      <c r="W550" s="20">
        <f>IF(U550="","",U550+Summary!$C$4)</f>
        <v/>
      </c>
      <c r="X550" s="16">
        <f>IF(OR(U550="",Y550="Removed",Y550="Deindexed only",Y550="No action needed"),"",TODAY()-U550)</f>
        <v/>
      </c>
      <c r="Y550" s="18" t="n"/>
      <c r="Z550" s="17" t="n"/>
      <c r="AA550" s="18" t="n"/>
      <c r="AB550" s="19" t="n"/>
    </row>
    <row r="551">
      <c r="A551" s="16">
        <f>IF(C551="","",ROW()-1)</f>
        <v/>
      </c>
      <c r="B551" s="17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9" t="n"/>
      <c r="L551" s="19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7" t="n"/>
      <c r="V551" s="18" t="n"/>
      <c r="W551" s="20">
        <f>IF(U551="","",U551+Summary!$C$4)</f>
        <v/>
      </c>
      <c r="X551" s="16">
        <f>IF(OR(U551="",Y551="Removed",Y551="Deindexed only",Y551="No action needed"),"",TODAY()-U551)</f>
        <v/>
      </c>
      <c r="Y551" s="18" t="n"/>
      <c r="Z551" s="17" t="n"/>
      <c r="AA551" s="18" t="n"/>
      <c r="AB551" s="19" t="n"/>
    </row>
    <row r="552">
      <c r="A552" s="16">
        <f>IF(C552="","",ROW()-1)</f>
        <v/>
      </c>
      <c r="B552" s="17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9" t="n"/>
      <c r="L552" s="19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7" t="n"/>
      <c r="V552" s="18" t="n"/>
      <c r="W552" s="20">
        <f>IF(U552="","",U552+Summary!$C$4)</f>
        <v/>
      </c>
      <c r="X552" s="16">
        <f>IF(OR(U552="",Y552="Removed",Y552="Deindexed only",Y552="No action needed"),"",TODAY()-U552)</f>
        <v/>
      </c>
      <c r="Y552" s="18" t="n"/>
      <c r="Z552" s="17" t="n"/>
      <c r="AA552" s="18" t="n"/>
      <c r="AB552" s="19" t="n"/>
    </row>
    <row r="553">
      <c r="A553" s="16">
        <f>IF(C553="","",ROW()-1)</f>
        <v/>
      </c>
      <c r="B553" s="17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9" t="n"/>
      <c r="L553" s="19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7" t="n"/>
      <c r="V553" s="18" t="n"/>
      <c r="W553" s="20">
        <f>IF(U553="","",U553+Summary!$C$4)</f>
        <v/>
      </c>
      <c r="X553" s="16">
        <f>IF(OR(U553="",Y553="Removed",Y553="Deindexed only",Y553="No action needed"),"",TODAY()-U553)</f>
        <v/>
      </c>
      <c r="Y553" s="18" t="n"/>
      <c r="Z553" s="17" t="n"/>
      <c r="AA553" s="18" t="n"/>
      <c r="AB553" s="19" t="n"/>
    </row>
    <row r="554">
      <c r="A554" s="16">
        <f>IF(C554="","",ROW()-1)</f>
        <v/>
      </c>
      <c r="B554" s="17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9" t="n"/>
      <c r="L554" s="19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7" t="n"/>
      <c r="V554" s="18" t="n"/>
      <c r="W554" s="20">
        <f>IF(U554="","",U554+Summary!$C$4)</f>
        <v/>
      </c>
      <c r="X554" s="16">
        <f>IF(OR(U554="",Y554="Removed",Y554="Deindexed only",Y554="No action needed"),"",TODAY()-U554)</f>
        <v/>
      </c>
      <c r="Y554" s="18" t="n"/>
      <c r="Z554" s="17" t="n"/>
      <c r="AA554" s="18" t="n"/>
      <c r="AB554" s="19" t="n"/>
    </row>
    <row r="555">
      <c r="A555" s="16">
        <f>IF(C555="","",ROW()-1)</f>
        <v/>
      </c>
      <c r="B555" s="17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9" t="n"/>
      <c r="L555" s="19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7" t="n"/>
      <c r="V555" s="18" t="n"/>
      <c r="W555" s="20">
        <f>IF(U555="","",U555+Summary!$C$4)</f>
        <v/>
      </c>
      <c r="X555" s="16">
        <f>IF(OR(U555="",Y555="Removed",Y555="Deindexed only",Y555="No action needed"),"",TODAY()-U555)</f>
        <v/>
      </c>
      <c r="Y555" s="18" t="n"/>
      <c r="Z555" s="17" t="n"/>
      <c r="AA555" s="18" t="n"/>
      <c r="AB555" s="19" t="n"/>
    </row>
    <row r="556">
      <c r="A556" s="16">
        <f>IF(C556="","",ROW()-1)</f>
        <v/>
      </c>
      <c r="B556" s="17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9" t="n"/>
      <c r="L556" s="19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7" t="n"/>
      <c r="V556" s="18" t="n"/>
      <c r="W556" s="20">
        <f>IF(U556="","",U556+Summary!$C$4)</f>
        <v/>
      </c>
      <c r="X556" s="16">
        <f>IF(OR(U556="",Y556="Removed",Y556="Deindexed only",Y556="No action needed"),"",TODAY()-U556)</f>
        <v/>
      </c>
      <c r="Y556" s="18" t="n"/>
      <c r="Z556" s="17" t="n"/>
      <c r="AA556" s="18" t="n"/>
      <c r="AB556" s="19" t="n"/>
    </row>
    <row r="557">
      <c r="A557" s="16">
        <f>IF(C557="","",ROW()-1)</f>
        <v/>
      </c>
      <c r="B557" s="17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9" t="n"/>
      <c r="L557" s="19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7" t="n"/>
      <c r="V557" s="18" t="n"/>
      <c r="W557" s="20">
        <f>IF(U557="","",U557+Summary!$C$4)</f>
        <v/>
      </c>
      <c r="X557" s="16">
        <f>IF(OR(U557="",Y557="Removed",Y557="Deindexed only",Y557="No action needed"),"",TODAY()-U557)</f>
        <v/>
      </c>
      <c r="Y557" s="18" t="n"/>
      <c r="Z557" s="17" t="n"/>
      <c r="AA557" s="18" t="n"/>
      <c r="AB557" s="19" t="n"/>
    </row>
    <row r="558">
      <c r="A558" s="16">
        <f>IF(C558="","",ROW()-1)</f>
        <v/>
      </c>
      <c r="B558" s="17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9" t="n"/>
      <c r="L558" s="19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7" t="n"/>
      <c r="V558" s="18" t="n"/>
      <c r="W558" s="20">
        <f>IF(U558="","",U558+Summary!$C$4)</f>
        <v/>
      </c>
      <c r="X558" s="16">
        <f>IF(OR(U558="",Y558="Removed",Y558="Deindexed only",Y558="No action needed"),"",TODAY()-U558)</f>
        <v/>
      </c>
      <c r="Y558" s="18" t="n"/>
      <c r="Z558" s="17" t="n"/>
      <c r="AA558" s="18" t="n"/>
      <c r="AB558" s="19" t="n"/>
    </row>
    <row r="559">
      <c r="A559" s="16">
        <f>IF(C559="","",ROW()-1)</f>
        <v/>
      </c>
      <c r="B559" s="17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9" t="n"/>
      <c r="L559" s="19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7" t="n"/>
      <c r="V559" s="18" t="n"/>
      <c r="W559" s="20">
        <f>IF(U559="","",U559+Summary!$C$4)</f>
        <v/>
      </c>
      <c r="X559" s="16">
        <f>IF(OR(U559="",Y559="Removed",Y559="Deindexed only",Y559="No action needed"),"",TODAY()-U559)</f>
        <v/>
      </c>
      <c r="Y559" s="18" t="n"/>
      <c r="Z559" s="17" t="n"/>
      <c r="AA559" s="18" t="n"/>
      <c r="AB559" s="19" t="n"/>
    </row>
    <row r="560">
      <c r="A560" s="16">
        <f>IF(C560="","",ROW()-1)</f>
        <v/>
      </c>
      <c r="B560" s="17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9" t="n"/>
      <c r="L560" s="19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7" t="n"/>
      <c r="V560" s="18" t="n"/>
      <c r="W560" s="20">
        <f>IF(U560="","",U560+Summary!$C$4)</f>
        <v/>
      </c>
      <c r="X560" s="16">
        <f>IF(OR(U560="",Y560="Removed",Y560="Deindexed only",Y560="No action needed"),"",TODAY()-U560)</f>
        <v/>
      </c>
      <c r="Y560" s="18" t="n"/>
      <c r="Z560" s="17" t="n"/>
      <c r="AA560" s="18" t="n"/>
      <c r="AB560" s="19" t="n"/>
    </row>
    <row r="561">
      <c r="A561" s="16">
        <f>IF(C561="","",ROW()-1)</f>
        <v/>
      </c>
      <c r="B561" s="17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9" t="n"/>
      <c r="L561" s="19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7" t="n"/>
      <c r="V561" s="18" t="n"/>
      <c r="W561" s="20">
        <f>IF(U561="","",U561+Summary!$C$4)</f>
        <v/>
      </c>
      <c r="X561" s="16">
        <f>IF(OR(U561="",Y561="Removed",Y561="Deindexed only",Y561="No action needed"),"",TODAY()-U561)</f>
        <v/>
      </c>
      <c r="Y561" s="18" t="n"/>
      <c r="Z561" s="17" t="n"/>
      <c r="AA561" s="18" t="n"/>
      <c r="AB561" s="19" t="n"/>
    </row>
    <row r="562">
      <c r="A562" s="16">
        <f>IF(C562="","",ROW()-1)</f>
        <v/>
      </c>
      <c r="B562" s="17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9" t="n"/>
      <c r="L562" s="19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7" t="n"/>
      <c r="V562" s="18" t="n"/>
      <c r="W562" s="20">
        <f>IF(U562="","",U562+Summary!$C$4)</f>
        <v/>
      </c>
      <c r="X562" s="16">
        <f>IF(OR(U562="",Y562="Removed",Y562="Deindexed only",Y562="No action needed"),"",TODAY()-U562)</f>
        <v/>
      </c>
      <c r="Y562" s="18" t="n"/>
      <c r="Z562" s="17" t="n"/>
      <c r="AA562" s="18" t="n"/>
      <c r="AB562" s="19" t="n"/>
    </row>
    <row r="563">
      <c r="A563" s="16">
        <f>IF(C563="","",ROW()-1)</f>
        <v/>
      </c>
      <c r="B563" s="17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9" t="n"/>
      <c r="L563" s="19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7" t="n"/>
      <c r="V563" s="18" t="n"/>
      <c r="W563" s="20">
        <f>IF(U563="","",U563+Summary!$C$4)</f>
        <v/>
      </c>
      <c r="X563" s="16">
        <f>IF(OR(U563="",Y563="Removed",Y563="Deindexed only",Y563="No action needed"),"",TODAY()-U563)</f>
        <v/>
      </c>
      <c r="Y563" s="18" t="n"/>
      <c r="Z563" s="17" t="n"/>
      <c r="AA563" s="18" t="n"/>
      <c r="AB563" s="19" t="n"/>
    </row>
    <row r="564">
      <c r="A564" s="16">
        <f>IF(C564="","",ROW()-1)</f>
        <v/>
      </c>
      <c r="B564" s="17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9" t="n"/>
      <c r="L564" s="19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7" t="n"/>
      <c r="V564" s="18" t="n"/>
      <c r="W564" s="20">
        <f>IF(U564="","",U564+Summary!$C$4)</f>
        <v/>
      </c>
      <c r="X564" s="16">
        <f>IF(OR(U564="",Y564="Removed",Y564="Deindexed only",Y564="No action needed"),"",TODAY()-U564)</f>
        <v/>
      </c>
      <c r="Y564" s="18" t="n"/>
      <c r="Z564" s="17" t="n"/>
      <c r="AA564" s="18" t="n"/>
      <c r="AB564" s="19" t="n"/>
    </row>
    <row r="565">
      <c r="A565" s="16">
        <f>IF(C565="","",ROW()-1)</f>
        <v/>
      </c>
      <c r="B565" s="17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9" t="n"/>
      <c r="L565" s="19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7" t="n"/>
      <c r="V565" s="18" t="n"/>
      <c r="W565" s="20">
        <f>IF(U565="","",U565+Summary!$C$4)</f>
        <v/>
      </c>
      <c r="X565" s="16">
        <f>IF(OR(U565="",Y565="Removed",Y565="Deindexed only",Y565="No action needed"),"",TODAY()-U565)</f>
        <v/>
      </c>
      <c r="Y565" s="18" t="n"/>
      <c r="Z565" s="17" t="n"/>
      <c r="AA565" s="18" t="n"/>
      <c r="AB565" s="19" t="n"/>
    </row>
    <row r="566">
      <c r="A566" s="16">
        <f>IF(C566="","",ROW()-1)</f>
        <v/>
      </c>
      <c r="B566" s="17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9" t="n"/>
      <c r="L566" s="19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7" t="n"/>
      <c r="V566" s="18" t="n"/>
      <c r="W566" s="20">
        <f>IF(U566="","",U566+Summary!$C$4)</f>
        <v/>
      </c>
      <c r="X566" s="16">
        <f>IF(OR(U566="",Y566="Removed",Y566="Deindexed only",Y566="No action needed"),"",TODAY()-U566)</f>
        <v/>
      </c>
      <c r="Y566" s="18" t="n"/>
      <c r="Z566" s="17" t="n"/>
      <c r="AA566" s="18" t="n"/>
      <c r="AB566" s="19" t="n"/>
    </row>
    <row r="567">
      <c r="A567" s="16">
        <f>IF(C567="","",ROW()-1)</f>
        <v/>
      </c>
      <c r="B567" s="17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9" t="n"/>
      <c r="L567" s="19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7" t="n"/>
      <c r="V567" s="18" t="n"/>
      <c r="W567" s="20">
        <f>IF(U567="","",U567+Summary!$C$4)</f>
        <v/>
      </c>
      <c r="X567" s="16">
        <f>IF(OR(U567="",Y567="Removed",Y567="Deindexed only",Y567="No action needed"),"",TODAY()-U567)</f>
        <v/>
      </c>
      <c r="Y567" s="18" t="n"/>
      <c r="Z567" s="17" t="n"/>
      <c r="AA567" s="18" t="n"/>
      <c r="AB567" s="19" t="n"/>
    </row>
    <row r="568">
      <c r="A568" s="16">
        <f>IF(C568="","",ROW()-1)</f>
        <v/>
      </c>
      <c r="B568" s="17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9" t="n"/>
      <c r="L568" s="19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7" t="n"/>
      <c r="V568" s="18" t="n"/>
      <c r="W568" s="20">
        <f>IF(U568="","",U568+Summary!$C$4)</f>
        <v/>
      </c>
      <c r="X568" s="16">
        <f>IF(OR(U568="",Y568="Removed",Y568="Deindexed only",Y568="No action needed"),"",TODAY()-U568)</f>
        <v/>
      </c>
      <c r="Y568" s="18" t="n"/>
      <c r="Z568" s="17" t="n"/>
      <c r="AA568" s="18" t="n"/>
      <c r="AB568" s="19" t="n"/>
    </row>
    <row r="569">
      <c r="A569" s="16">
        <f>IF(C569="","",ROW()-1)</f>
        <v/>
      </c>
      <c r="B569" s="17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9" t="n"/>
      <c r="L569" s="19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7" t="n"/>
      <c r="V569" s="18" t="n"/>
      <c r="W569" s="20">
        <f>IF(U569="","",U569+Summary!$C$4)</f>
        <v/>
      </c>
      <c r="X569" s="16">
        <f>IF(OR(U569="",Y569="Removed",Y569="Deindexed only",Y569="No action needed"),"",TODAY()-U569)</f>
        <v/>
      </c>
      <c r="Y569" s="18" t="n"/>
      <c r="Z569" s="17" t="n"/>
      <c r="AA569" s="18" t="n"/>
      <c r="AB569" s="19" t="n"/>
    </row>
    <row r="570">
      <c r="A570" s="16">
        <f>IF(C570="","",ROW()-1)</f>
        <v/>
      </c>
      <c r="B570" s="17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9" t="n"/>
      <c r="L570" s="19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7" t="n"/>
      <c r="V570" s="18" t="n"/>
      <c r="W570" s="20">
        <f>IF(U570="","",U570+Summary!$C$4)</f>
        <v/>
      </c>
      <c r="X570" s="16">
        <f>IF(OR(U570="",Y570="Removed",Y570="Deindexed only",Y570="No action needed"),"",TODAY()-U570)</f>
        <v/>
      </c>
      <c r="Y570" s="18" t="n"/>
      <c r="Z570" s="17" t="n"/>
      <c r="AA570" s="18" t="n"/>
      <c r="AB570" s="19" t="n"/>
    </row>
    <row r="571">
      <c r="A571" s="16">
        <f>IF(C571="","",ROW()-1)</f>
        <v/>
      </c>
      <c r="B571" s="17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9" t="n"/>
      <c r="L571" s="19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7" t="n"/>
      <c r="V571" s="18" t="n"/>
      <c r="W571" s="20">
        <f>IF(U571="","",U571+Summary!$C$4)</f>
        <v/>
      </c>
      <c r="X571" s="16">
        <f>IF(OR(U571="",Y571="Removed",Y571="Deindexed only",Y571="No action needed"),"",TODAY()-U571)</f>
        <v/>
      </c>
      <c r="Y571" s="18" t="n"/>
      <c r="Z571" s="17" t="n"/>
      <c r="AA571" s="18" t="n"/>
      <c r="AB571" s="19" t="n"/>
    </row>
    <row r="572">
      <c r="A572" s="16">
        <f>IF(C572="","",ROW()-1)</f>
        <v/>
      </c>
      <c r="B572" s="17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9" t="n"/>
      <c r="L572" s="19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7" t="n"/>
      <c r="V572" s="18" t="n"/>
      <c r="W572" s="20">
        <f>IF(U572="","",U572+Summary!$C$4)</f>
        <v/>
      </c>
      <c r="X572" s="16">
        <f>IF(OR(U572="",Y572="Removed",Y572="Deindexed only",Y572="No action needed"),"",TODAY()-U572)</f>
        <v/>
      </c>
      <c r="Y572" s="18" t="n"/>
      <c r="Z572" s="17" t="n"/>
      <c r="AA572" s="18" t="n"/>
      <c r="AB572" s="19" t="n"/>
    </row>
    <row r="573">
      <c r="A573" s="16">
        <f>IF(C573="","",ROW()-1)</f>
        <v/>
      </c>
      <c r="B573" s="17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9" t="n"/>
      <c r="L573" s="19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7" t="n"/>
      <c r="V573" s="18" t="n"/>
      <c r="W573" s="20">
        <f>IF(U573="","",U573+Summary!$C$4)</f>
        <v/>
      </c>
      <c r="X573" s="16">
        <f>IF(OR(U573="",Y573="Removed",Y573="Deindexed only",Y573="No action needed"),"",TODAY()-U573)</f>
        <v/>
      </c>
      <c r="Y573" s="18" t="n"/>
      <c r="Z573" s="17" t="n"/>
      <c r="AA573" s="18" t="n"/>
      <c r="AB573" s="19" t="n"/>
    </row>
    <row r="574">
      <c r="A574" s="16">
        <f>IF(C574="","",ROW()-1)</f>
        <v/>
      </c>
      <c r="B574" s="17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9" t="n"/>
      <c r="L574" s="19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7" t="n"/>
      <c r="V574" s="18" t="n"/>
      <c r="W574" s="20">
        <f>IF(U574="","",U574+Summary!$C$4)</f>
        <v/>
      </c>
      <c r="X574" s="16">
        <f>IF(OR(U574="",Y574="Removed",Y574="Deindexed only",Y574="No action needed"),"",TODAY()-U574)</f>
        <v/>
      </c>
      <c r="Y574" s="18" t="n"/>
      <c r="Z574" s="17" t="n"/>
      <c r="AA574" s="18" t="n"/>
      <c r="AB574" s="19" t="n"/>
    </row>
    <row r="575">
      <c r="A575" s="16">
        <f>IF(C575="","",ROW()-1)</f>
        <v/>
      </c>
      <c r="B575" s="17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9" t="n"/>
      <c r="L575" s="19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7" t="n"/>
      <c r="V575" s="18" t="n"/>
      <c r="W575" s="20">
        <f>IF(U575="","",U575+Summary!$C$4)</f>
        <v/>
      </c>
      <c r="X575" s="16">
        <f>IF(OR(U575="",Y575="Removed",Y575="Deindexed only",Y575="No action needed"),"",TODAY()-U575)</f>
        <v/>
      </c>
      <c r="Y575" s="18" t="n"/>
      <c r="Z575" s="17" t="n"/>
      <c r="AA575" s="18" t="n"/>
      <c r="AB575" s="19" t="n"/>
    </row>
    <row r="576">
      <c r="A576" s="16">
        <f>IF(C576="","",ROW()-1)</f>
        <v/>
      </c>
      <c r="B576" s="17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9" t="n"/>
      <c r="L576" s="19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7" t="n"/>
      <c r="V576" s="18" t="n"/>
      <c r="W576" s="20">
        <f>IF(U576="","",U576+Summary!$C$4)</f>
        <v/>
      </c>
      <c r="X576" s="16">
        <f>IF(OR(U576="",Y576="Removed",Y576="Deindexed only",Y576="No action needed"),"",TODAY()-U576)</f>
        <v/>
      </c>
      <c r="Y576" s="18" t="n"/>
      <c r="Z576" s="17" t="n"/>
      <c r="AA576" s="18" t="n"/>
      <c r="AB576" s="19" t="n"/>
    </row>
    <row r="577">
      <c r="A577" s="16">
        <f>IF(C577="","",ROW()-1)</f>
        <v/>
      </c>
      <c r="B577" s="17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9" t="n"/>
      <c r="L577" s="19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7" t="n"/>
      <c r="V577" s="18" t="n"/>
      <c r="W577" s="20">
        <f>IF(U577="","",U577+Summary!$C$4)</f>
        <v/>
      </c>
      <c r="X577" s="16">
        <f>IF(OR(U577="",Y577="Removed",Y577="Deindexed only",Y577="No action needed"),"",TODAY()-U577)</f>
        <v/>
      </c>
      <c r="Y577" s="18" t="n"/>
      <c r="Z577" s="17" t="n"/>
      <c r="AA577" s="18" t="n"/>
      <c r="AB577" s="19" t="n"/>
    </row>
    <row r="578">
      <c r="A578" s="16">
        <f>IF(C578="","",ROW()-1)</f>
        <v/>
      </c>
      <c r="B578" s="17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9" t="n"/>
      <c r="L578" s="19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7" t="n"/>
      <c r="V578" s="18" t="n"/>
      <c r="W578" s="20">
        <f>IF(U578="","",U578+Summary!$C$4)</f>
        <v/>
      </c>
      <c r="X578" s="16">
        <f>IF(OR(U578="",Y578="Removed",Y578="Deindexed only",Y578="No action needed"),"",TODAY()-U578)</f>
        <v/>
      </c>
      <c r="Y578" s="18" t="n"/>
      <c r="Z578" s="17" t="n"/>
      <c r="AA578" s="18" t="n"/>
      <c r="AB578" s="19" t="n"/>
    </row>
    <row r="579">
      <c r="A579" s="16">
        <f>IF(C579="","",ROW()-1)</f>
        <v/>
      </c>
      <c r="B579" s="17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9" t="n"/>
      <c r="L579" s="19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7" t="n"/>
      <c r="V579" s="18" t="n"/>
      <c r="W579" s="20">
        <f>IF(U579="","",U579+Summary!$C$4)</f>
        <v/>
      </c>
      <c r="X579" s="16">
        <f>IF(OR(U579="",Y579="Removed",Y579="Deindexed only",Y579="No action needed"),"",TODAY()-U579)</f>
        <v/>
      </c>
      <c r="Y579" s="18" t="n"/>
      <c r="Z579" s="17" t="n"/>
      <c r="AA579" s="18" t="n"/>
      <c r="AB579" s="19" t="n"/>
    </row>
    <row r="580">
      <c r="A580" s="16">
        <f>IF(C580="","",ROW()-1)</f>
        <v/>
      </c>
      <c r="B580" s="17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9" t="n"/>
      <c r="L580" s="19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7" t="n"/>
      <c r="V580" s="18" t="n"/>
      <c r="W580" s="20">
        <f>IF(U580="","",U580+Summary!$C$4)</f>
        <v/>
      </c>
      <c r="X580" s="16">
        <f>IF(OR(U580="",Y580="Removed",Y580="Deindexed only",Y580="No action needed"),"",TODAY()-U580)</f>
        <v/>
      </c>
      <c r="Y580" s="18" t="n"/>
      <c r="Z580" s="17" t="n"/>
      <c r="AA580" s="18" t="n"/>
      <c r="AB580" s="19" t="n"/>
    </row>
    <row r="581">
      <c r="A581" s="16">
        <f>IF(C581="","",ROW()-1)</f>
        <v/>
      </c>
      <c r="B581" s="17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9" t="n"/>
      <c r="L581" s="19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7" t="n"/>
      <c r="V581" s="18" t="n"/>
      <c r="W581" s="20">
        <f>IF(U581="","",U581+Summary!$C$4)</f>
        <v/>
      </c>
      <c r="X581" s="16">
        <f>IF(OR(U581="",Y581="Removed",Y581="Deindexed only",Y581="No action needed"),"",TODAY()-U581)</f>
        <v/>
      </c>
      <c r="Y581" s="18" t="n"/>
      <c r="Z581" s="17" t="n"/>
      <c r="AA581" s="18" t="n"/>
      <c r="AB581" s="19" t="n"/>
    </row>
    <row r="582">
      <c r="A582" s="16">
        <f>IF(C582="","",ROW()-1)</f>
        <v/>
      </c>
      <c r="B582" s="17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9" t="n"/>
      <c r="L582" s="19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7" t="n"/>
      <c r="V582" s="18" t="n"/>
      <c r="W582" s="20">
        <f>IF(U582="","",U582+Summary!$C$4)</f>
        <v/>
      </c>
      <c r="X582" s="16">
        <f>IF(OR(U582="",Y582="Removed",Y582="Deindexed only",Y582="No action needed"),"",TODAY()-U582)</f>
        <v/>
      </c>
      <c r="Y582" s="18" t="n"/>
      <c r="Z582" s="17" t="n"/>
      <c r="AA582" s="18" t="n"/>
      <c r="AB582" s="19" t="n"/>
    </row>
    <row r="583">
      <c r="A583" s="16">
        <f>IF(C583="","",ROW()-1)</f>
        <v/>
      </c>
      <c r="B583" s="17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9" t="n"/>
      <c r="L583" s="19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7" t="n"/>
      <c r="V583" s="18" t="n"/>
      <c r="W583" s="20">
        <f>IF(U583="","",U583+Summary!$C$4)</f>
        <v/>
      </c>
      <c r="X583" s="16">
        <f>IF(OR(U583="",Y583="Removed",Y583="Deindexed only",Y583="No action needed"),"",TODAY()-U583)</f>
        <v/>
      </c>
      <c r="Y583" s="18" t="n"/>
      <c r="Z583" s="17" t="n"/>
      <c r="AA583" s="18" t="n"/>
      <c r="AB583" s="19" t="n"/>
    </row>
    <row r="584">
      <c r="A584" s="16">
        <f>IF(C584="","",ROW()-1)</f>
        <v/>
      </c>
      <c r="B584" s="17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9" t="n"/>
      <c r="L584" s="19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7" t="n"/>
      <c r="V584" s="18" t="n"/>
      <c r="W584" s="20">
        <f>IF(U584="","",U584+Summary!$C$4)</f>
        <v/>
      </c>
      <c r="X584" s="16">
        <f>IF(OR(U584="",Y584="Removed",Y584="Deindexed only",Y584="No action needed"),"",TODAY()-U584)</f>
        <v/>
      </c>
      <c r="Y584" s="18" t="n"/>
      <c r="Z584" s="17" t="n"/>
      <c r="AA584" s="18" t="n"/>
      <c r="AB584" s="19" t="n"/>
    </row>
    <row r="585">
      <c r="A585" s="16">
        <f>IF(C585="","",ROW()-1)</f>
        <v/>
      </c>
      <c r="B585" s="17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9" t="n"/>
      <c r="L585" s="19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7" t="n"/>
      <c r="V585" s="18" t="n"/>
      <c r="W585" s="20">
        <f>IF(U585="","",U585+Summary!$C$4)</f>
        <v/>
      </c>
      <c r="X585" s="16">
        <f>IF(OR(U585="",Y585="Removed",Y585="Deindexed only",Y585="No action needed"),"",TODAY()-U585)</f>
        <v/>
      </c>
      <c r="Y585" s="18" t="n"/>
      <c r="Z585" s="17" t="n"/>
      <c r="AA585" s="18" t="n"/>
      <c r="AB585" s="19" t="n"/>
    </row>
    <row r="586">
      <c r="A586" s="16">
        <f>IF(C586="","",ROW()-1)</f>
        <v/>
      </c>
      <c r="B586" s="17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9" t="n"/>
      <c r="L586" s="19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7" t="n"/>
      <c r="V586" s="18" t="n"/>
      <c r="W586" s="20">
        <f>IF(U586="","",U586+Summary!$C$4)</f>
        <v/>
      </c>
      <c r="X586" s="16">
        <f>IF(OR(U586="",Y586="Removed",Y586="Deindexed only",Y586="No action needed"),"",TODAY()-U586)</f>
        <v/>
      </c>
      <c r="Y586" s="18" t="n"/>
      <c r="Z586" s="17" t="n"/>
      <c r="AA586" s="18" t="n"/>
      <c r="AB586" s="19" t="n"/>
    </row>
    <row r="587">
      <c r="A587" s="16">
        <f>IF(C587="","",ROW()-1)</f>
        <v/>
      </c>
      <c r="B587" s="17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9" t="n"/>
      <c r="L587" s="19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7" t="n"/>
      <c r="V587" s="18" t="n"/>
      <c r="W587" s="20">
        <f>IF(U587="","",U587+Summary!$C$4)</f>
        <v/>
      </c>
      <c r="X587" s="16">
        <f>IF(OR(U587="",Y587="Removed",Y587="Deindexed only",Y587="No action needed"),"",TODAY()-U587)</f>
        <v/>
      </c>
      <c r="Y587" s="18" t="n"/>
      <c r="Z587" s="17" t="n"/>
      <c r="AA587" s="18" t="n"/>
      <c r="AB587" s="19" t="n"/>
    </row>
    <row r="588">
      <c r="A588" s="16">
        <f>IF(C588="","",ROW()-1)</f>
        <v/>
      </c>
      <c r="B588" s="17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9" t="n"/>
      <c r="L588" s="19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7" t="n"/>
      <c r="V588" s="18" t="n"/>
      <c r="W588" s="20">
        <f>IF(U588="","",U588+Summary!$C$4)</f>
        <v/>
      </c>
      <c r="X588" s="16">
        <f>IF(OR(U588="",Y588="Removed",Y588="Deindexed only",Y588="No action needed"),"",TODAY()-U588)</f>
        <v/>
      </c>
      <c r="Y588" s="18" t="n"/>
      <c r="Z588" s="17" t="n"/>
      <c r="AA588" s="18" t="n"/>
      <c r="AB588" s="19" t="n"/>
    </row>
    <row r="589">
      <c r="A589" s="16">
        <f>IF(C589="","",ROW()-1)</f>
        <v/>
      </c>
      <c r="B589" s="17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9" t="n"/>
      <c r="L589" s="19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7" t="n"/>
      <c r="V589" s="18" t="n"/>
      <c r="W589" s="20">
        <f>IF(U589="","",U589+Summary!$C$4)</f>
        <v/>
      </c>
      <c r="X589" s="16">
        <f>IF(OR(U589="",Y589="Removed",Y589="Deindexed only",Y589="No action needed"),"",TODAY()-U589)</f>
        <v/>
      </c>
      <c r="Y589" s="18" t="n"/>
      <c r="Z589" s="17" t="n"/>
      <c r="AA589" s="18" t="n"/>
      <c r="AB589" s="19" t="n"/>
    </row>
    <row r="590">
      <c r="A590" s="16">
        <f>IF(C590="","",ROW()-1)</f>
        <v/>
      </c>
      <c r="B590" s="17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9" t="n"/>
      <c r="L590" s="19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7" t="n"/>
      <c r="V590" s="18" t="n"/>
      <c r="W590" s="20">
        <f>IF(U590="","",U590+Summary!$C$4)</f>
        <v/>
      </c>
      <c r="X590" s="16">
        <f>IF(OR(U590="",Y590="Removed",Y590="Deindexed only",Y590="No action needed"),"",TODAY()-U590)</f>
        <v/>
      </c>
      <c r="Y590" s="18" t="n"/>
      <c r="Z590" s="17" t="n"/>
      <c r="AA590" s="18" t="n"/>
      <c r="AB590" s="19" t="n"/>
    </row>
    <row r="591">
      <c r="A591" s="16">
        <f>IF(C591="","",ROW()-1)</f>
        <v/>
      </c>
      <c r="B591" s="17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9" t="n"/>
      <c r="L591" s="19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7" t="n"/>
      <c r="V591" s="18" t="n"/>
      <c r="W591" s="20">
        <f>IF(U591="","",U591+Summary!$C$4)</f>
        <v/>
      </c>
      <c r="X591" s="16">
        <f>IF(OR(U591="",Y591="Removed",Y591="Deindexed only",Y591="No action needed"),"",TODAY()-U591)</f>
        <v/>
      </c>
      <c r="Y591" s="18" t="n"/>
      <c r="Z591" s="17" t="n"/>
      <c r="AA591" s="18" t="n"/>
      <c r="AB591" s="19" t="n"/>
    </row>
    <row r="592">
      <c r="A592" s="16">
        <f>IF(C592="","",ROW()-1)</f>
        <v/>
      </c>
      <c r="B592" s="17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9" t="n"/>
      <c r="L592" s="19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7" t="n"/>
      <c r="V592" s="18" t="n"/>
      <c r="W592" s="20">
        <f>IF(U592="","",U592+Summary!$C$4)</f>
        <v/>
      </c>
      <c r="X592" s="16">
        <f>IF(OR(U592="",Y592="Removed",Y592="Deindexed only",Y592="No action needed"),"",TODAY()-U592)</f>
        <v/>
      </c>
      <c r="Y592" s="18" t="n"/>
      <c r="Z592" s="17" t="n"/>
      <c r="AA592" s="18" t="n"/>
      <c r="AB592" s="19" t="n"/>
    </row>
    <row r="593">
      <c r="A593" s="16">
        <f>IF(C593="","",ROW()-1)</f>
        <v/>
      </c>
      <c r="B593" s="17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9" t="n"/>
      <c r="L593" s="19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7" t="n"/>
      <c r="V593" s="18" t="n"/>
      <c r="W593" s="20">
        <f>IF(U593="","",U593+Summary!$C$4)</f>
        <v/>
      </c>
      <c r="X593" s="16">
        <f>IF(OR(U593="",Y593="Removed",Y593="Deindexed only",Y593="No action needed"),"",TODAY()-U593)</f>
        <v/>
      </c>
      <c r="Y593" s="18" t="n"/>
      <c r="Z593" s="17" t="n"/>
      <c r="AA593" s="18" t="n"/>
      <c r="AB593" s="19" t="n"/>
    </row>
    <row r="594">
      <c r="A594" s="16">
        <f>IF(C594="","",ROW()-1)</f>
        <v/>
      </c>
      <c r="B594" s="17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9" t="n"/>
      <c r="L594" s="19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7" t="n"/>
      <c r="V594" s="18" t="n"/>
      <c r="W594" s="20">
        <f>IF(U594="","",U594+Summary!$C$4)</f>
        <v/>
      </c>
      <c r="X594" s="16">
        <f>IF(OR(U594="",Y594="Removed",Y594="Deindexed only",Y594="No action needed"),"",TODAY()-U594)</f>
        <v/>
      </c>
      <c r="Y594" s="18" t="n"/>
      <c r="Z594" s="17" t="n"/>
      <c r="AA594" s="18" t="n"/>
      <c r="AB594" s="19" t="n"/>
    </row>
    <row r="595">
      <c r="A595" s="16">
        <f>IF(C595="","",ROW()-1)</f>
        <v/>
      </c>
      <c r="B595" s="17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9" t="n"/>
      <c r="L595" s="19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7" t="n"/>
      <c r="V595" s="18" t="n"/>
      <c r="W595" s="20">
        <f>IF(U595="","",U595+Summary!$C$4)</f>
        <v/>
      </c>
      <c r="X595" s="16">
        <f>IF(OR(U595="",Y595="Removed",Y595="Deindexed only",Y595="No action needed"),"",TODAY()-U595)</f>
        <v/>
      </c>
      <c r="Y595" s="18" t="n"/>
      <c r="Z595" s="17" t="n"/>
      <c r="AA595" s="18" t="n"/>
      <c r="AB595" s="19" t="n"/>
    </row>
    <row r="596">
      <c r="A596" s="16">
        <f>IF(C596="","",ROW()-1)</f>
        <v/>
      </c>
      <c r="B596" s="17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9" t="n"/>
      <c r="L596" s="19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7" t="n"/>
      <c r="V596" s="18" t="n"/>
      <c r="W596" s="20">
        <f>IF(U596="","",U596+Summary!$C$4)</f>
        <v/>
      </c>
      <c r="X596" s="16">
        <f>IF(OR(U596="",Y596="Removed",Y596="Deindexed only",Y596="No action needed"),"",TODAY()-U596)</f>
        <v/>
      </c>
      <c r="Y596" s="18" t="n"/>
      <c r="Z596" s="17" t="n"/>
      <c r="AA596" s="18" t="n"/>
      <c r="AB596" s="19" t="n"/>
    </row>
    <row r="597">
      <c r="A597" s="16">
        <f>IF(C597="","",ROW()-1)</f>
        <v/>
      </c>
      <c r="B597" s="17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9" t="n"/>
      <c r="L597" s="19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7" t="n"/>
      <c r="V597" s="18" t="n"/>
      <c r="W597" s="20">
        <f>IF(U597="","",U597+Summary!$C$4)</f>
        <v/>
      </c>
      <c r="X597" s="16">
        <f>IF(OR(U597="",Y597="Removed",Y597="Deindexed only",Y597="No action needed"),"",TODAY()-U597)</f>
        <v/>
      </c>
      <c r="Y597" s="18" t="n"/>
      <c r="Z597" s="17" t="n"/>
      <c r="AA597" s="18" t="n"/>
      <c r="AB597" s="19" t="n"/>
    </row>
    <row r="598">
      <c r="A598" s="16">
        <f>IF(C598="","",ROW()-1)</f>
        <v/>
      </c>
      <c r="B598" s="17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9" t="n"/>
      <c r="L598" s="19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7" t="n"/>
      <c r="V598" s="18" t="n"/>
      <c r="W598" s="20">
        <f>IF(U598="","",U598+Summary!$C$4)</f>
        <v/>
      </c>
      <c r="X598" s="16">
        <f>IF(OR(U598="",Y598="Removed",Y598="Deindexed only",Y598="No action needed"),"",TODAY()-U598)</f>
        <v/>
      </c>
      <c r="Y598" s="18" t="n"/>
      <c r="Z598" s="17" t="n"/>
      <c r="AA598" s="18" t="n"/>
      <c r="AB598" s="19" t="n"/>
    </row>
    <row r="599">
      <c r="A599" s="16">
        <f>IF(C599="","",ROW()-1)</f>
        <v/>
      </c>
      <c r="B599" s="17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9" t="n"/>
      <c r="L599" s="19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7" t="n"/>
      <c r="V599" s="18" t="n"/>
      <c r="W599" s="20">
        <f>IF(U599="","",U599+Summary!$C$4)</f>
        <v/>
      </c>
      <c r="X599" s="16">
        <f>IF(OR(U599="",Y599="Removed",Y599="Deindexed only",Y599="No action needed"),"",TODAY()-U599)</f>
        <v/>
      </c>
      <c r="Y599" s="18" t="n"/>
      <c r="Z599" s="17" t="n"/>
      <c r="AA599" s="18" t="n"/>
      <c r="AB599" s="19" t="n"/>
    </row>
    <row r="600">
      <c r="A600" s="16">
        <f>IF(C600="","",ROW()-1)</f>
        <v/>
      </c>
      <c r="B600" s="17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9" t="n"/>
      <c r="L600" s="19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7" t="n"/>
      <c r="V600" s="18" t="n"/>
      <c r="W600" s="20">
        <f>IF(U600="","",U600+Summary!$C$4)</f>
        <v/>
      </c>
      <c r="X600" s="16">
        <f>IF(OR(U600="",Y600="Removed",Y600="Deindexed only",Y600="No action needed"),"",TODAY()-U600)</f>
        <v/>
      </c>
      <c r="Y600" s="18" t="n"/>
      <c r="Z600" s="17" t="n"/>
      <c r="AA600" s="18" t="n"/>
      <c r="AB600" s="19" t="n"/>
    </row>
    <row r="601">
      <c r="A601" s="16">
        <f>IF(C601="","",ROW()-1)</f>
        <v/>
      </c>
      <c r="B601" s="17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9" t="n"/>
      <c r="L601" s="19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7" t="n"/>
      <c r="V601" s="18" t="n"/>
      <c r="W601" s="20">
        <f>IF(U601="","",U601+Summary!$C$4)</f>
        <v/>
      </c>
      <c r="X601" s="16">
        <f>IF(OR(U601="",Y601="Removed",Y601="Deindexed only",Y601="No action needed"),"",TODAY()-U601)</f>
        <v/>
      </c>
      <c r="Y601" s="18" t="n"/>
      <c r="Z601" s="17" t="n"/>
      <c r="AA601" s="18" t="n"/>
      <c r="AB601" s="19" t="n"/>
    </row>
    <row r="602">
      <c r="A602" s="16">
        <f>IF(C602="","",ROW()-1)</f>
        <v/>
      </c>
      <c r="B602" s="17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9" t="n"/>
      <c r="L602" s="19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7" t="n"/>
      <c r="V602" s="18" t="n"/>
      <c r="W602" s="20">
        <f>IF(U602="","",U602+Summary!$C$4)</f>
        <v/>
      </c>
      <c r="X602" s="16">
        <f>IF(OR(U602="",Y602="Removed",Y602="Deindexed only",Y602="No action needed"),"",TODAY()-U602)</f>
        <v/>
      </c>
      <c r="Y602" s="18" t="n"/>
      <c r="Z602" s="17" t="n"/>
      <c r="AA602" s="18" t="n"/>
      <c r="AB602" s="19" t="n"/>
    </row>
    <row r="603">
      <c r="A603" s="16">
        <f>IF(C603="","",ROW()-1)</f>
        <v/>
      </c>
      <c r="B603" s="17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9" t="n"/>
      <c r="L603" s="19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7" t="n"/>
      <c r="V603" s="18" t="n"/>
      <c r="W603" s="20">
        <f>IF(U603="","",U603+Summary!$C$4)</f>
        <v/>
      </c>
      <c r="X603" s="16">
        <f>IF(OR(U603="",Y603="Removed",Y603="Deindexed only",Y603="No action needed"),"",TODAY()-U603)</f>
        <v/>
      </c>
      <c r="Y603" s="18" t="n"/>
      <c r="Z603" s="17" t="n"/>
      <c r="AA603" s="18" t="n"/>
      <c r="AB603" s="19" t="n"/>
    </row>
    <row r="604">
      <c r="A604" s="16">
        <f>IF(C604="","",ROW()-1)</f>
        <v/>
      </c>
      <c r="B604" s="17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9" t="n"/>
      <c r="L604" s="19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7" t="n"/>
      <c r="V604" s="18" t="n"/>
      <c r="W604" s="20">
        <f>IF(U604="","",U604+Summary!$C$4)</f>
        <v/>
      </c>
      <c r="X604" s="16">
        <f>IF(OR(U604="",Y604="Removed",Y604="Deindexed only",Y604="No action needed"),"",TODAY()-U604)</f>
        <v/>
      </c>
      <c r="Y604" s="18" t="n"/>
      <c r="Z604" s="17" t="n"/>
      <c r="AA604" s="18" t="n"/>
      <c r="AB604" s="19" t="n"/>
    </row>
    <row r="605">
      <c r="A605" s="16">
        <f>IF(C605="","",ROW()-1)</f>
        <v/>
      </c>
      <c r="B605" s="17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9" t="n"/>
      <c r="L605" s="19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7" t="n"/>
      <c r="V605" s="18" t="n"/>
      <c r="W605" s="20">
        <f>IF(U605="","",U605+Summary!$C$4)</f>
        <v/>
      </c>
      <c r="X605" s="16">
        <f>IF(OR(U605="",Y605="Removed",Y605="Deindexed only",Y605="No action needed"),"",TODAY()-U605)</f>
        <v/>
      </c>
      <c r="Y605" s="18" t="n"/>
      <c r="Z605" s="17" t="n"/>
      <c r="AA605" s="18" t="n"/>
      <c r="AB605" s="19" t="n"/>
    </row>
    <row r="606">
      <c r="A606" s="16">
        <f>IF(C606="","",ROW()-1)</f>
        <v/>
      </c>
      <c r="B606" s="17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9" t="n"/>
      <c r="L606" s="19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7" t="n"/>
      <c r="V606" s="18" t="n"/>
      <c r="W606" s="20">
        <f>IF(U606="","",U606+Summary!$C$4)</f>
        <v/>
      </c>
      <c r="X606" s="16">
        <f>IF(OR(U606="",Y606="Removed",Y606="Deindexed only",Y606="No action needed"),"",TODAY()-U606)</f>
        <v/>
      </c>
      <c r="Y606" s="18" t="n"/>
      <c r="Z606" s="17" t="n"/>
      <c r="AA606" s="18" t="n"/>
      <c r="AB606" s="19" t="n"/>
    </row>
    <row r="607">
      <c r="A607" s="16">
        <f>IF(C607="","",ROW()-1)</f>
        <v/>
      </c>
      <c r="B607" s="17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9" t="n"/>
      <c r="L607" s="19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7" t="n"/>
      <c r="V607" s="18" t="n"/>
      <c r="W607" s="20">
        <f>IF(U607="","",U607+Summary!$C$4)</f>
        <v/>
      </c>
      <c r="X607" s="16">
        <f>IF(OR(U607="",Y607="Removed",Y607="Deindexed only",Y607="No action needed"),"",TODAY()-U607)</f>
        <v/>
      </c>
      <c r="Y607" s="18" t="n"/>
      <c r="Z607" s="17" t="n"/>
      <c r="AA607" s="18" t="n"/>
      <c r="AB607" s="19" t="n"/>
    </row>
    <row r="608">
      <c r="A608" s="16">
        <f>IF(C608="","",ROW()-1)</f>
        <v/>
      </c>
      <c r="B608" s="17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9" t="n"/>
      <c r="L608" s="19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7" t="n"/>
      <c r="V608" s="18" t="n"/>
      <c r="W608" s="20">
        <f>IF(U608="","",U608+Summary!$C$4)</f>
        <v/>
      </c>
      <c r="X608" s="16">
        <f>IF(OR(U608="",Y608="Removed",Y608="Deindexed only",Y608="No action needed"),"",TODAY()-U608)</f>
        <v/>
      </c>
      <c r="Y608" s="18" t="n"/>
      <c r="Z608" s="17" t="n"/>
      <c r="AA608" s="18" t="n"/>
      <c r="AB608" s="19" t="n"/>
    </row>
    <row r="609">
      <c r="A609" s="16">
        <f>IF(C609="","",ROW()-1)</f>
        <v/>
      </c>
      <c r="B609" s="17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9" t="n"/>
      <c r="L609" s="19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7" t="n"/>
      <c r="V609" s="18" t="n"/>
      <c r="W609" s="20">
        <f>IF(U609="","",U609+Summary!$C$4)</f>
        <v/>
      </c>
      <c r="X609" s="16">
        <f>IF(OR(U609="",Y609="Removed",Y609="Deindexed only",Y609="No action needed"),"",TODAY()-U609)</f>
        <v/>
      </c>
      <c r="Y609" s="18" t="n"/>
      <c r="Z609" s="17" t="n"/>
      <c r="AA609" s="18" t="n"/>
      <c r="AB609" s="19" t="n"/>
    </row>
    <row r="610">
      <c r="A610" s="16">
        <f>IF(C610="","",ROW()-1)</f>
        <v/>
      </c>
      <c r="B610" s="17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9" t="n"/>
      <c r="L610" s="19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7" t="n"/>
      <c r="V610" s="18" t="n"/>
      <c r="W610" s="20">
        <f>IF(U610="","",U610+Summary!$C$4)</f>
        <v/>
      </c>
      <c r="X610" s="16">
        <f>IF(OR(U610="",Y610="Removed",Y610="Deindexed only",Y610="No action needed"),"",TODAY()-U610)</f>
        <v/>
      </c>
      <c r="Y610" s="18" t="n"/>
      <c r="Z610" s="17" t="n"/>
      <c r="AA610" s="18" t="n"/>
      <c r="AB610" s="19" t="n"/>
    </row>
    <row r="611">
      <c r="A611" s="16">
        <f>IF(C611="","",ROW()-1)</f>
        <v/>
      </c>
      <c r="B611" s="17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9" t="n"/>
      <c r="L611" s="19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7" t="n"/>
      <c r="V611" s="18" t="n"/>
      <c r="W611" s="20">
        <f>IF(U611="","",U611+Summary!$C$4)</f>
        <v/>
      </c>
      <c r="X611" s="16">
        <f>IF(OR(U611="",Y611="Removed",Y611="Deindexed only",Y611="No action needed"),"",TODAY()-U611)</f>
        <v/>
      </c>
      <c r="Y611" s="18" t="n"/>
      <c r="Z611" s="17" t="n"/>
      <c r="AA611" s="18" t="n"/>
      <c r="AB611" s="19" t="n"/>
    </row>
    <row r="612">
      <c r="A612" s="16">
        <f>IF(C612="","",ROW()-1)</f>
        <v/>
      </c>
      <c r="B612" s="17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9" t="n"/>
      <c r="L612" s="19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7" t="n"/>
      <c r="V612" s="18" t="n"/>
      <c r="W612" s="20">
        <f>IF(U612="","",U612+Summary!$C$4)</f>
        <v/>
      </c>
      <c r="X612" s="16">
        <f>IF(OR(U612="",Y612="Removed",Y612="Deindexed only",Y612="No action needed"),"",TODAY()-U612)</f>
        <v/>
      </c>
      <c r="Y612" s="18" t="n"/>
      <c r="Z612" s="17" t="n"/>
      <c r="AA612" s="18" t="n"/>
      <c r="AB612" s="19" t="n"/>
    </row>
    <row r="613">
      <c r="A613" s="16">
        <f>IF(C613="","",ROW()-1)</f>
        <v/>
      </c>
      <c r="B613" s="17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9" t="n"/>
      <c r="L613" s="19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7" t="n"/>
      <c r="V613" s="18" t="n"/>
      <c r="W613" s="20">
        <f>IF(U613="","",U613+Summary!$C$4)</f>
        <v/>
      </c>
      <c r="X613" s="16">
        <f>IF(OR(U613="",Y613="Removed",Y613="Deindexed only",Y613="No action needed"),"",TODAY()-U613)</f>
        <v/>
      </c>
      <c r="Y613" s="18" t="n"/>
      <c r="Z613" s="17" t="n"/>
      <c r="AA613" s="18" t="n"/>
      <c r="AB613" s="19" t="n"/>
    </row>
    <row r="614">
      <c r="A614" s="16">
        <f>IF(C614="","",ROW()-1)</f>
        <v/>
      </c>
      <c r="B614" s="17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9" t="n"/>
      <c r="L614" s="19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7" t="n"/>
      <c r="V614" s="18" t="n"/>
      <c r="W614" s="20">
        <f>IF(U614="","",U614+Summary!$C$4)</f>
        <v/>
      </c>
      <c r="X614" s="16">
        <f>IF(OR(U614="",Y614="Removed",Y614="Deindexed only",Y614="No action needed"),"",TODAY()-U614)</f>
        <v/>
      </c>
      <c r="Y614" s="18" t="n"/>
      <c r="Z614" s="17" t="n"/>
      <c r="AA614" s="18" t="n"/>
      <c r="AB614" s="19" t="n"/>
    </row>
    <row r="615">
      <c r="A615" s="16">
        <f>IF(C615="","",ROW()-1)</f>
        <v/>
      </c>
      <c r="B615" s="17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9" t="n"/>
      <c r="L615" s="19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7" t="n"/>
      <c r="V615" s="18" t="n"/>
      <c r="W615" s="20">
        <f>IF(U615="","",U615+Summary!$C$4)</f>
        <v/>
      </c>
      <c r="X615" s="16">
        <f>IF(OR(U615="",Y615="Removed",Y615="Deindexed only",Y615="No action needed"),"",TODAY()-U615)</f>
        <v/>
      </c>
      <c r="Y615" s="18" t="n"/>
      <c r="Z615" s="17" t="n"/>
      <c r="AA615" s="18" t="n"/>
      <c r="AB615" s="19" t="n"/>
    </row>
    <row r="616">
      <c r="A616" s="16">
        <f>IF(C616="","",ROW()-1)</f>
        <v/>
      </c>
      <c r="B616" s="17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9" t="n"/>
      <c r="L616" s="19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7" t="n"/>
      <c r="V616" s="18" t="n"/>
      <c r="W616" s="20">
        <f>IF(U616="","",U616+Summary!$C$4)</f>
        <v/>
      </c>
      <c r="X616" s="16">
        <f>IF(OR(U616="",Y616="Removed",Y616="Deindexed only",Y616="No action needed"),"",TODAY()-U616)</f>
        <v/>
      </c>
      <c r="Y616" s="18" t="n"/>
      <c r="Z616" s="17" t="n"/>
      <c r="AA616" s="18" t="n"/>
      <c r="AB616" s="19" t="n"/>
    </row>
    <row r="617">
      <c r="A617" s="16">
        <f>IF(C617="","",ROW()-1)</f>
        <v/>
      </c>
      <c r="B617" s="17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9" t="n"/>
      <c r="L617" s="19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7" t="n"/>
      <c r="V617" s="18" t="n"/>
      <c r="W617" s="20">
        <f>IF(U617="","",U617+Summary!$C$4)</f>
        <v/>
      </c>
      <c r="X617" s="16">
        <f>IF(OR(U617="",Y617="Removed",Y617="Deindexed only",Y617="No action needed"),"",TODAY()-U617)</f>
        <v/>
      </c>
      <c r="Y617" s="18" t="n"/>
      <c r="Z617" s="17" t="n"/>
      <c r="AA617" s="18" t="n"/>
      <c r="AB617" s="19" t="n"/>
    </row>
    <row r="618">
      <c r="A618" s="16">
        <f>IF(C618="","",ROW()-1)</f>
        <v/>
      </c>
      <c r="B618" s="17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9" t="n"/>
      <c r="L618" s="19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7" t="n"/>
      <c r="V618" s="18" t="n"/>
      <c r="W618" s="20">
        <f>IF(U618="","",U618+Summary!$C$4)</f>
        <v/>
      </c>
      <c r="X618" s="16">
        <f>IF(OR(U618="",Y618="Removed",Y618="Deindexed only",Y618="No action needed"),"",TODAY()-U618)</f>
        <v/>
      </c>
      <c r="Y618" s="18" t="n"/>
      <c r="Z618" s="17" t="n"/>
      <c r="AA618" s="18" t="n"/>
      <c r="AB618" s="19" t="n"/>
    </row>
    <row r="619">
      <c r="A619" s="16">
        <f>IF(C619="","",ROW()-1)</f>
        <v/>
      </c>
      <c r="B619" s="17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9" t="n"/>
      <c r="L619" s="19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7" t="n"/>
      <c r="V619" s="18" t="n"/>
      <c r="W619" s="20">
        <f>IF(U619="","",U619+Summary!$C$4)</f>
        <v/>
      </c>
      <c r="X619" s="16">
        <f>IF(OR(U619="",Y619="Removed",Y619="Deindexed only",Y619="No action needed"),"",TODAY()-U619)</f>
        <v/>
      </c>
      <c r="Y619" s="18" t="n"/>
      <c r="Z619" s="17" t="n"/>
      <c r="AA619" s="18" t="n"/>
      <c r="AB619" s="19" t="n"/>
    </row>
    <row r="620">
      <c r="A620" s="16">
        <f>IF(C620="","",ROW()-1)</f>
        <v/>
      </c>
      <c r="B620" s="17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9" t="n"/>
      <c r="L620" s="19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7" t="n"/>
      <c r="V620" s="18" t="n"/>
      <c r="W620" s="20">
        <f>IF(U620="","",U620+Summary!$C$4)</f>
        <v/>
      </c>
      <c r="X620" s="16">
        <f>IF(OR(U620="",Y620="Removed",Y620="Deindexed only",Y620="No action needed"),"",TODAY()-U620)</f>
        <v/>
      </c>
      <c r="Y620" s="18" t="n"/>
      <c r="Z620" s="17" t="n"/>
      <c r="AA620" s="18" t="n"/>
      <c r="AB620" s="19" t="n"/>
    </row>
    <row r="621">
      <c r="A621" s="16">
        <f>IF(C621="","",ROW()-1)</f>
        <v/>
      </c>
      <c r="B621" s="17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9" t="n"/>
      <c r="L621" s="19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7" t="n"/>
      <c r="V621" s="18" t="n"/>
      <c r="W621" s="20">
        <f>IF(U621="","",U621+Summary!$C$4)</f>
        <v/>
      </c>
      <c r="X621" s="16">
        <f>IF(OR(U621="",Y621="Removed",Y621="Deindexed only",Y621="No action needed"),"",TODAY()-U621)</f>
        <v/>
      </c>
      <c r="Y621" s="18" t="n"/>
      <c r="Z621" s="17" t="n"/>
      <c r="AA621" s="18" t="n"/>
      <c r="AB621" s="19" t="n"/>
    </row>
    <row r="622">
      <c r="A622" s="16">
        <f>IF(C622="","",ROW()-1)</f>
        <v/>
      </c>
      <c r="B622" s="17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9" t="n"/>
      <c r="L622" s="19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7" t="n"/>
      <c r="V622" s="18" t="n"/>
      <c r="W622" s="20">
        <f>IF(U622="","",U622+Summary!$C$4)</f>
        <v/>
      </c>
      <c r="X622" s="16">
        <f>IF(OR(U622="",Y622="Removed",Y622="Deindexed only",Y622="No action needed"),"",TODAY()-U622)</f>
        <v/>
      </c>
      <c r="Y622" s="18" t="n"/>
      <c r="Z622" s="17" t="n"/>
      <c r="AA622" s="18" t="n"/>
      <c r="AB622" s="19" t="n"/>
    </row>
    <row r="623">
      <c r="A623" s="16">
        <f>IF(C623="","",ROW()-1)</f>
        <v/>
      </c>
      <c r="B623" s="17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9" t="n"/>
      <c r="L623" s="19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7" t="n"/>
      <c r="V623" s="18" t="n"/>
      <c r="W623" s="20">
        <f>IF(U623="","",U623+Summary!$C$4)</f>
        <v/>
      </c>
      <c r="X623" s="16">
        <f>IF(OR(U623="",Y623="Removed",Y623="Deindexed only",Y623="No action needed"),"",TODAY()-U623)</f>
        <v/>
      </c>
      <c r="Y623" s="18" t="n"/>
      <c r="Z623" s="17" t="n"/>
      <c r="AA623" s="18" t="n"/>
      <c r="AB623" s="19" t="n"/>
    </row>
    <row r="624">
      <c r="A624" s="16">
        <f>IF(C624="","",ROW()-1)</f>
        <v/>
      </c>
      <c r="B624" s="17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9" t="n"/>
      <c r="L624" s="19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7" t="n"/>
      <c r="V624" s="18" t="n"/>
      <c r="W624" s="20">
        <f>IF(U624="","",U624+Summary!$C$4)</f>
        <v/>
      </c>
      <c r="X624" s="16">
        <f>IF(OR(U624="",Y624="Removed",Y624="Deindexed only",Y624="No action needed"),"",TODAY()-U624)</f>
        <v/>
      </c>
      <c r="Y624" s="18" t="n"/>
      <c r="Z624" s="17" t="n"/>
      <c r="AA624" s="18" t="n"/>
      <c r="AB624" s="19" t="n"/>
    </row>
    <row r="625">
      <c r="A625" s="16">
        <f>IF(C625="","",ROW()-1)</f>
        <v/>
      </c>
      <c r="B625" s="17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9" t="n"/>
      <c r="L625" s="19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7" t="n"/>
      <c r="V625" s="18" t="n"/>
      <c r="W625" s="20">
        <f>IF(U625="","",U625+Summary!$C$4)</f>
        <v/>
      </c>
      <c r="X625" s="16">
        <f>IF(OR(U625="",Y625="Removed",Y625="Deindexed only",Y625="No action needed"),"",TODAY()-U625)</f>
        <v/>
      </c>
      <c r="Y625" s="18" t="n"/>
      <c r="Z625" s="17" t="n"/>
      <c r="AA625" s="18" t="n"/>
      <c r="AB625" s="19" t="n"/>
    </row>
    <row r="626">
      <c r="A626" s="16">
        <f>IF(C626="","",ROW()-1)</f>
        <v/>
      </c>
      <c r="B626" s="17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9" t="n"/>
      <c r="L626" s="19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7" t="n"/>
      <c r="V626" s="18" t="n"/>
      <c r="W626" s="20">
        <f>IF(U626="","",U626+Summary!$C$4)</f>
        <v/>
      </c>
      <c r="X626" s="16">
        <f>IF(OR(U626="",Y626="Removed",Y626="Deindexed only",Y626="No action needed"),"",TODAY()-U626)</f>
        <v/>
      </c>
      <c r="Y626" s="18" t="n"/>
      <c r="Z626" s="17" t="n"/>
      <c r="AA626" s="18" t="n"/>
      <c r="AB626" s="19" t="n"/>
    </row>
    <row r="627">
      <c r="A627" s="16">
        <f>IF(C627="","",ROW()-1)</f>
        <v/>
      </c>
      <c r="B627" s="17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9" t="n"/>
      <c r="L627" s="19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7" t="n"/>
      <c r="V627" s="18" t="n"/>
      <c r="W627" s="20">
        <f>IF(U627="","",U627+Summary!$C$4)</f>
        <v/>
      </c>
      <c r="X627" s="16">
        <f>IF(OR(U627="",Y627="Removed",Y627="Deindexed only",Y627="No action needed"),"",TODAY()-U627)</f>
        <v/>
      </c>
      <c r="Y627" s="18" t="n"/>
      <c r="Z627" s="17" t="n"/>
      <c r="AA627" s="18" t="n"/>
      <c r="AB627" s="19" t="n"/>
    </row>
    <row r="628">
      <c r="A628" s="16">
        <f>IF(C628="","",ROW()-1)</f>
        <v/>
      </c>
      <c r="B628" s="17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9" t="n"/>
      <c r="L628" s="19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7" t="n"/>
      <c r="V628" s="18" t="n"/>
      <c r="W628" s="20">
        <f>IF(U628="","",U628+Summary!$C$4)</f>
        <v/>
      </c>
      <c r="X628" s="16">
        <f>IF(OR(U628="",Y628="Removed",Y628="Deindexed only",Y628="No action needed"),"",TODAY()-U628)</f>
        <v/>
      </c>
      <c r="Y628" s="18" t="n"/>
      <c r="Z628" s="17" t="n"/>
      <c r="AA628" s="18" t="n"/>
      <c r="AB628" s="19" t="n"/>
    </row>
    <row r="629">
      <c r="A629" s="16">
        <f>IF(C629="","",ROW()-1)</f>
        <v/>
      </c>
      <c r="B629" s="17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9" t="n"/>
      <c r="L629" s="19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7" t="n"/>
      <c r="V629" s="18" t="n"/>
      <c r="W629" s="20">
        <f>IF(U629="","",U629+Summary!$C$4)</f>
        <v/>
      </c>
      <c r="X629" s="16">
        <f>IF(OR(U629="",Y629="Removed",Y629="Deindexed only",Y629="No action needed"),"",TODAY()-U629)</f>
        <v/>
      </c>
      <c r="Y629" s="18" t="n"/>
      <c r="Z629" s="17" t="n"/>
      <c r="AA629" s="18" t="n"/>
      <c r="AB629" s="19" t="n"/>
    </row>
    <row r="630">
      <c r="A630" s="16">
        <f>IF(C630="","",ROW()-1)</f>
        <v/>
      </c>
      <c r="B630" s="17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9" t="n"/>
      <c r="L630" s="19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7" t="n"/>
      <c r="V630" s="18" t="n"/>
      <c r="W630" s="20">
        <f>IF(U630="","",U630+Summary!$C$4)</f>
        <v/>
      </c>
      <c r="X630" s="16">
        <f>IF(OR(U630="",Y630="Removed",Y630="Deindexed only",Y630="No action needed"),"",TODAY()-U630)</f>
        <v/>
      </c>
      <c r="Y630" s="18" t="n"/>
      <c r="Z630" s="17" t="n"/>
      <c r="AA630" s="18" t="n"/>
      <c r="AB630" s="19" t="n"/>
    </row>
    <row r="631">
      <c r="A631" s="16">
        <f>IF(C631="","",ROW()-1)</f>
        <v/>
      </c>
      <c r="B631" s="17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9" t="n"/>
      <c r="L631" s="19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7" t="n"/>
      <c r="V631" s="18" t="n"/>
      <c r="W631" s="20">
        <f>IF(U631="","",U631+Summary!$C$4)</f>
        <v/>
      </c>
      <c r="X631" s="16">
        <f>IF(OR(U631="",Y631="Removed",Y631="Deindexed only",Y631="No action needed"),"",TODAY()-U631)</f>
        <v/>
      </c>
      <c r="Y631" s="18" t="n"/>
      <c r="Z631" s="17" t="n"/>
      <c r="AA631" s="18" t="n"/>
      <c r="AB631" s="19" t="n"/>
    </row>
    <row r="632">
      <c r="A632" s="16">
        <f>IF(C632="","",ROW()-1)</f>
        <v/>
      </c>
      <c r="B632" s="17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9" t="n"/>
      <c r="L632" s="19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7" t="n"/>
      <c r="V632" s="18" t="n"/>
      <c r="W632" s="20">
        <f>IF(U632="","",U632+Summary!$C$4)</f>
        <v/>
      </c>
      <c r="X632" s="16">
        <f>IF(OR(U632="",Y632="Removed",Y632="Deindexed only",Y632="No action needed"),"",TODAY()-U632)</f>
        <v/>
      </c>
      <c r="Y632" s="18" t="n"/>
      <c r="Z632" s="17" t="n"/>
      <c r="AA632" s="18" t="n"/>
      <c r="AB632" s="19" t="n"/>
    </row>
    <row r="633">
      <c r="A633" s="16">
        <f>IF(C633="","",ROW()-1)</f>
        <v/>
      </c>
      <c r="B633" s="17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9" t="n"/>
      <c r="L633" s="19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7" t="n"/>
      <c r="V633" s="18" t="n"/>
      <c r="W633" s="20">
        <f>IF(U633="","",U633+Summary!$C$4)</f>
        <v/>
      </c>
      <c r="X633" s="16">
        <f>IF(OR(U633="",Y633="Removed",Y633="Deindexed only",Y633="No action needed"),"",TODAY()-U633)</f>
        <v/>
      </c>
      <c r="Y633" s="18" t="n"/>
      <c r="Z633" s="17" t="n"/>
      <c r="AA633" s="18" t="n"/>
      <c r="AB633" s="19" t="n"/>
    </row>
    <row r="634">
      <c r="A634" s="16">
        <f>IF(C634="","",ROW()-1)</f>
        <v/>
      </c>
      <c r="B634" s="17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9" t="n"/>
      <c r="L634" s="19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7" t="n"/>
      <c r="V634" s="18" t="n"/>
      <c r="W634" s="20">
        <f>IF(U634="","",U634+Summary!$C$4)</f>
        <v/>
      </c>
      <c r="X634" s="16">
        <f>IF(OR(U634="",Y634="Removed",Y634="Deindexed only",Y634="No action needed"),"",TODAY()-U634)</f>
        <v/>
      </c>
      <c r="Y634" s="18" t="n"/>
      <c r="Z634" s="17" t="n"/>
      <c r="AA634" s="18" t="n"/>
      <c r="AB634" s="19" t="n"/>
    </row>
    <row r="635">
      <c r="A635" s="16">
        <f>IF(C635="","",ROW()-1)</f>
        <v/>
      </c>
      <c r="B635" s="17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9" t="n"/>
      <c r="L635" s="19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7" t="n"/>
      <c r="V635" s="18" t="n"/>
      <c r="W635" s="20">
        <f>IF(U635="","",U635+Summary!$C$4)</f>
        <v/>
      </c>
      <c r="X635" s="16">
        <f>IF(OR(U635="",Y635="Removed",Y635="Deindexed only",Y635="No action needed"),"",TODAY()-U635)</f>
        <v/>
      </c>
      <c r="Y635" s="18" t="n"/>
      <c r="Z635" s="17" t="n"/>
      <c r="AA635" s="18" t="n"/>
      <c r="AB635" s="19" t="n"/>
    </row>
    <row r="636">
      <c r="A636" s="16">
        <f>IF(C636="","",ROW()-1)</f>
        <v/>
      </c>
      <c r="B636" s="17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9" t="n"/>
      <c r="L636" s="19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7" t="n"/>
      <c r="V636" s="18" t="n"/>
      <c r="W636" s="20">
        <f>IF(U636="","",U636+Summary!$C$4)</f>
        <v/>
      </c>
      <c r="X636" s="16">
        <f>IF(OR(U636="",Y636="Removed",Y636="Deindexed only",Y636="No action needed"),"",TODAY()-U636)</f>
        <v/>
      </c>
      <c r="Y636" s="18" t="n"/>
      <c r="Z636" s="17" t="n"/>
      <c r="AA636" s="18" t="n"/>
      <c r="AB636" s="19" t="n"/>
    </row>
    <row r="637">
      <c r="A637" s="16">
        <f>IF(C637="","",ROW()-1)</f>
        <v/>
      </c>
      <c r="B637" s="17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9" t="n"/>
      <c r="L637" s="19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7" t="n"/>
      <c r="V637" s="18" t="n"/>
      <c r="W637" s="20">
        <f>IF(U637="","",U637+Summary!$C$4)</f>
        <v/>
      </c>
      <c r="X637" s="16">
        <f>IF(OR(U637="",Y637="Removed",Y637="Deindexed only",Y637="No action needed"),"",TODAY()-U637)</f>
        <v/>
      </c>
      <c r="Y637" s="18" t="n"/>
      <c r="Z637" s="17" t="n"/>
      <c r="AA637" s="18" t="n"/>
      <c r="AB637" s="19" t="n"/>
    </row>
    <row r="638">
      <c r="A638" s="16">
        <f>IF(C638="","",ROW()-1)</f>
        <v/>
      </c>
      <c r="B638" s="17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9" t="n"/>
      <c r="L638" s="19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7" t="n"/>
      <c r="V638" s="18" t="n"/>
      <c r="W638" s="20">
        <f>IF(U638="","",U638+Summary!$C$4)</f>
        <v/>
      </c>
      <c r="X638" s="16">
        <f>IF(OR(U638="",Y638="Removed",Y638="Deindexed only",Y638="No action needed"),"",TODAY()-U638)</f>
        <v/>
      </c>
      <c r="Y638" s="18" t="n"/>
      <c r="Z638" s="17" t="n"/>
      <c r="AA638" s="18" t="n"/>
      <c r="AB638" s="19" t="n"/>
    </row>
    <row r="639">
      <c r="A639" s="16">
        <f>IF(C639="","",ROW()-1)</f>
        <v/>
      </c>
      <c r="B639" s="17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9" t="n"/>
      <c r="L639" s="19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7" t="n"/>
      <c r="V639" s="18" t="n"/>
      <c r="W639" s="20">
        <f>IF(U639="","",U639+Summary!$C$4)</f>
        <v/>
      </c>
      <c r="X639" s="16">
        <f>IF(OR(U639="",Y639="Removed",Y639="Deindexed only",Y639="No action needed"),"",TODAY()-U639)</f>
        <v/>
      </c>
      <c r="Y639" s="18" t="n"/>
      <c r="Z639" s="17" t="n"/>
      <c r="AA639" s="18" t="n"/>
      <c r="AB639" s="19" t="n"/>
    </row>
    <row r="640">
      <c r="A640" s="16">
        <f>IF(C640="","",ROW()-1)</f>
        <v/>
      </c>
      <c r="B640" s="17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9" t="n"/>
      <c r="L640" s="19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7" t="n"/>
      <c r="V640" s="18" t="n"/>
      <c r="W640" s="20">
        <f>IF(U640="","",U640+Summary!$C$4)</f>
        <v/>
      </c>
      <c r="X640" s="16">
        <f>IF(OR(U640="",Y640="Removed",Y640="Deindexed only",Y640="No action needed"),"",TODAY()-U640)</f>
        <v/>
      </c>
      <c r="Y640" s="18" t="n"/>
      <c r="Z640" s="17" t="n"/>
      <c r="AA640" s="18" t="n"/>
      <c r="AB640" s="19" t="n"/>
    </row>
    <row r="641">
      <c r="A641" s="16">
        <f>IF(C641="","",ROW()-1)</f>
        <v/>
      </c>
      <c r="B641" s="17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9" t="n"/>
      <c r="L641" s="19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7" t="n"/>
      <c r="V641" s="18" t="n"/>
      <c r="W641" s="20">
        <f>IF(U641="","",U641+Summary!$C$4)</f>
        <v/>
      </c>
      <c r="X641" s="16">
        <f>IF(OR(U641="",Y641="Removed",Y641="Deindexed only",Y641="No action needed"),"",TODAY()-U641)</f>
        <v/>
      </c>
      <c r="Y641" s="18" t="n"/>
      <c r="Z641" s="17" t="n"/>
      <c r="AA641" s="18" t="n"/>
      <c r="AB641" s="19" t="n"/>
    </row>
    <row r="642">
      <c r="A642" s="16">
        <f>IF(C642="","",ROW()-1)</f>
        <v/>
      </c>
      <c r="B642" s="17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9" t="n"/>
      <c r="L642" s="19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7" t="n"/>
      <c r="V642" s="18" t="n"/>
      <c r="W642" s="20">
        <f>IF(U642="","",U642+Summary!$C$4)</f>
        <v/>
      </c>
      <c r="X642" s="16">
        <f>IF(OR(U642="",Y642="Removed",Y642="Deindexed only",Y642="No action needed"),"",TODAY()-U642)</f>
        <v/>
      </c>
      <c r="Y642" s="18" t="n"/>
      <c r="Z642" s="17" t="n"/>
      <c r="AA642" s="18" t="n"/>
      <c r="AB642" s="19" t="n"/>
    </row>
    <row r="643">
      <c r="A643" s="16">
        <f>IF(C643="","",ROW()-1)</f>
        <v/>
      </c>
      <c r="B643" s="17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9" t="n"/>
      <c r="L643" s="19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7" t="n"/>
      <c r="V643" s="18" t="n"/>
      <c r="W643" s="20">
        <f>IF(U643="","",U643+Summary!$C$4)</f>
        <v/>
      </c>
      <c r="X643" s="16">
        <f>IF(OR(U643="",Y643="Removed",Y643="Deindexed only",Y643="No action needed"),"",TODAY()-U643)</f>
        <v/>
      </c>
      <c r="Y643" s="18" t="n"/>
      <c r="Z643" s="17" t="n"/>
      <c r="AA643" s="18" t="n"/>
      <c r="AB643" s="19" t="n"/>
    </row>
    <row r="644">
      <c r="A644" s="16">
        <f>IF(C644="","",ROW()-1)</f>
        <v/>
      </c>
      <c r="B644" s="17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9" t="n"/>
      <c r="L644" s="19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7" t="n"/>
      <c r="V644" s="18" t="n"/>
      <c r="W644" s="20">
        <f>IF(U644="","",U644+Summary!$C$4)</f>
        <v/>
      </c>
      <c r="X644" s="16">
        <f>IF(OR(U644="",Y644="Removed",Y644="Deindexed only",Y644="No action needed"),"",TODAY()-U644)</f>
        <v/>
      </c>
      <c r="Y644" s="18" t="n"/>
      <c r="Z644" s="17" t="n"/>
      <c r="AA644" s="18" t="n"/>
      <c r="AB644" s="19" t="n"/>
    </row>
    <row r="645">
      <c r="A645" s="16">
        <f>IF(C645="","",ROW()-1)</f>
        <v/>
      </c>
      <c r="B645" s="17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9" t="n"/>
      <c r="L645" s="19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7" t="n"/>
      <c r="V645" s="18" t="n"/>
      <c r="W645" s="20">
        <f>IF(U645="","",U645+Summary!$C$4)</f>
        <v/>
      </c>
      <c r="X645" s="16">
        <f>IF(OR(U645="",Y645="Removed",Y645="Deindexed only",Y645="No action needed"),"",TODAY()-U645)</f>
        <v/>
      </c>
      <c r="Y645" s="18" t="n"/>
      <c r="Z645" s="17" t="n"/>
      <c r="AA645" s="18" t="n"/>
      <c r="AB645" s="19" t="n"/>
    </row>
    <row r="646">
      <c r="A646" s="16">
        <f>IF(C646="","",ROW()-1)</f>
        <v/>
      </c>
      <c r="B646" s="17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9" t="n"/>
      <c r="L646" s="19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7" t="n"/>
      <c r="V646" s="18" t="n"/>
      <c r="W646" s="20">
        <f>IF(U646="","",U646+Summary!$C$4)</f>
        <v/>
      </c>
      <c r="X646" s="16">
        <f>IF(OR(U646="",Y646="Removed",Y646="Deindexed only",Y646="No action needed"),"",TODAY()-U646)</f>
        <v/>
      </c>
      <c r="Y646" s="18" t="n"/>
      <c r="Z646" s="17" t="n"/>
      <c r="AA646" s="18" t="n"/>
      <c r="AB646" s="19" t="n"/>
    </row>
    <row r="647">
      <c r="A647" s="16">
        <f>IF(C647="","",ROW()-1)</f>
        <v/>
      </c>
      <c r="B647" s="17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9" t="n"/>
      <c r="L647" s="19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7" t="n"/>
      <c r="V647" s="18" t="n"/>
      <c r="W647" s="20">
        <f>IF(U647="","",U647+Summary!$C$4)</f>
        <v/>
      </c>
      <c r="X647" s="16">
        <f>IF(OR(U647="",Y647="Removed",Y647="Deindexed only",Y647="No action needed"),"",TODAY()-U647)</f>
        <v/>
      </c>
      <c r="Y647" s="18" t="n"/>
      <c r="Z647" s="17" t="n"/>
      <c r="AA647" s="18" t="n"/>
      <c r="AB647" s="19" t="n"/>
    </row>
    <row r="648">
      <c r="A648" s="16">
        <f>IF(C648="","",ROW()-1)</f>
        <v/>
      </c>
      <c r="B648" s="17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9" t="n"/>
      <c r="L648" s="19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7" t="n"/>
      <c r="V648" s="18" t="n"/>
      <c r="W648" s="20">
        <f>IF(U648="","",U648+Summary!$C$4)</f>
        <v/>
      </c>
      <c r="X648" s="16">
        <f>IF(OR(U648="",Y648="Removed",Y648="Deindexed only",Y648="No action needed"),"",TODAY()-U648)</f>
        <v/>
      </c>
      <c r="Y648" s="18" t="n"/>
      <c r="Z648" s="17" t="n"/>
      <c r="AA648" s="18" t="n"/>
      <c r="AB648" s="19" t="n"/>
    </row>
    <row r="649">
      <c r="A649" s="16">
        <f>IF(C649="","",ROW()-1)</f>
        <v/>
      </c>
      <c r="B649" s="17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9" t="n"/>
      <c r="L649" s="19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7" t="n"/>
      <c r="V649" s="18" t="n"/>
      <c r="W649" s="20">
        <f>IF(U649="","",U649+Summary!$C$4)</f>
        <v/>
      </c>
      <c r="X649" s="16">
        <f>IF(OR(U649="",Y649="Removed",Y649="Deindexed only",Y649="No action needed"),"",TODAY()-U649)</f>
        <v/>
      </c>
      <c r="Y649" s="18" t="n"/>
      <c r="Z649" s="17" t="n"/>
      <c r="AA649" s="18" t="n"/>
      <c r="AB649" s="19" t="n"/>
    </row>
    <row r="650">
      <c r="A650" s="16">
        <f>IF(C650="","",ROW()-1)</f>
        <v/>
      </c>
      <c r="B650" s="17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9" t="n"/>
      <c r="L650" s="19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7" t="n"/>
      <c r="V650" s="18" t="n"/>
      <c r="W650" s="20">
        <f>IF(U650="","",U650+Summary!$C$4)</f>
        <v/>
      </c>
      <c r="X650" s="16">
        <f>IF(OR(U650="",Y650="Removed",Y650="Deindexed only",Y650="No action needed"),"",TODAY()-U650)</f>
        <v/>
      </c>
      <c r="Y650" s="18" t="n"/>
      <c r="Z650" s="17" t="n"/>
      <c r="AA650" s="18" t="n"/>
      <c r="AB650" s="19" t="n"/>
    </row>
    <row r="651">
      <c r="A651" s="16">
        <f>IF(C651="","",ROW()-1)</f>
        <v/>
      </c>
      <c r="B651" s="17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9" t="n"/>
      <c r="L651" s="19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7" t="n"/>
      <c r="V651" s="18" t="n"/>
      <c r="W651" s="20">
        <f>IF(U651="","",U651+Summary!$C$4)</f>
        <v/>
      </c>
      <c r="X651" s="16">
        <f>IF(OR(U651="",Y651="Removed",Y651="Deindexed only",Y651="No action needed"),"",TODAY()-U651)</f>
        <v/>
      </c>
      <c r="Y651" s="18" t="n"/>
      <c r="Z651" s="17" t="n"/>
      <c r="AA651" s="18" t="n"/>
      <c r="AB651" s="19" t="n"/>
    </row>
    <row r="652">
      <c r="A652" s="16">
        <f>IF(C652="","",ROW()-1)</f>
        <v/>
      </c>
      <c r="B652" s="17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9" t="n"/>
      <c r="L652" s="19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7" t="n"/>
      <c r="V652" s="18" t="n"/>
      <c r="W652" s="20">
        <f>IF(U652="","",U652+Summary!$C$4)</f>
        <v/>
      </c>
      <c r="X652" s="16">
        <f>IF(OR(U652="",Y652="Removed",Y652="Deindexed only",Y652="No action needed"),"",TODAY()-U652)</f>
        <v/>
      </c>
      <c r="Y652" s="18" t="n"/>
      <c r="Z652" s="17" t="n"/>
      <c r="AA652" s="18" t="n"/>
      <c r="AB652" s="19" t="n"/>
    </row>
    <row r="653">
      <c r="A653" s="16">
        <f>IF(C653="","",ROW()-1)</f>
        <v/>
      </c>
      <c r="B653" s="17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9" t="n"/>
      <c r="L653" s="19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7" t="n"/>
      <c r="V653" s="18" t="n"/>
      <c r="W653" s="20">
        <f>IF(U653="","",U653+Summary!$C$4)</f>
        <v/>
      </c>
      <c r="X653" s="16">
        <f>IF(OR(U653="",Y653="Removed",Y653="Deindexed only",Y653="No action needed"),"",TODAY()-U653)</f>
        <v/>
      </c>
      <c r="Y653" s="18" t="n"/>
      <c r="Z653" s="17" t="n"/>
      <c r="AA653" s="18" t="n"/>
      <c r="AB653" s="19" t="n"/>
    </row>
    <row r="654">
      <c r="A654" s="16">
        <f>IF(C654="","",ROW()-1)</f>
        <v/>
      </c>
      <c r="B654" s="17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9" t="n"/>
      <c r="L654" s="19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7" t="n"/>
      <c r="V654" s="18" t="n"/>
      <c r="W654" s="20">
        <f>IF(U654="","",U654+Summary!$C$4)</f>
        <v/>
      </c>
      <c r="X654" s="16">
        <f>IF(OR(U654="",Y654="Removed",Y654="Deindexed only",Y654="No action needed"),"",TODAY()-U654)</f>
        <v/>
      </c>
      <c r="Y654" s="18" t="n"/>
      <c r="Z654" s="17" t="n"/>
      <c r="AA654" s="18" t="n"/>
      <c r="AB654" s="19" t="n"/>
    </row>
    <row r="655">
      <c r="A655" s="16">
        <f>IF(C655="","",ROW()-1)</f>
        <v/>
      </c>
      <c r="B655" s="17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9" t="n"/>
      <c r="L655" s="19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7" t="n"/>
      <c r="V655" s="18" t="n"/>
      <c r="W655" s="20">
        <f>IF(U655="","",U655+Summary!$C$4)</f>
        <v/>
      </c>
      <c r="X655" s="16">
        <f>IF(OR(U655="",Y655="Removed",Y655="Deindexed only",Y655="No action needed"),"",TODAY()-U655)</f>
        <v/>
      </c>
      <c r="Y655" s="18" t="n"/>
      <c r="Z655" s="17" t="n"/>
      <c r="AA655" s="18" t="n"/>
      <c r="AB655" s="19" t="n"/>
    </row>
    <row r="656">
      <c r="A656" s="16">
        <f>IF(C656="","",ROW()-1)</f>
        <v/>
      </c>
      <c r="B656" s="17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9" t="n"/>
      <c r="L656" s="19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7" t="n"/>
      <c r="V656" s="18" t="n"/>
      <c r="W656" s="20">
        <f>IF(U656="","",U656+Summary!$C$4)</f>
        <v/>
      </c>
      <c r="X656" s="16">
        <f>IF(OR(U656="",Y656="Removed",Y656="Deindexed only",Y656="No action needed"),"",TODAY()-U656)</f>
        <v/>
      </c>
      <c r="Y656" s="18" t="n"/>
      <c r="Z656" s="17" t="n"/>
      <c r="AA656" s="18" t="n"/>
      <c r="AB656" s="19" t="n"/>
    </row>
    <row r="657">
      <c r="A657" s="16">
        <f>IF(C657="","",ROW()-1)</f>
        <v/>
      </c>
      <c r="B657" s="17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9" t="n"/>
      <c r="L657" s="19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7" t="n"/>
      <c r="V657" s="18" t="n"/>
      <c r="W657" s="20">
        <f>IF(U657="","",U657+Summary!$C$4)</f>
        <v/>
      </c>
      <c r="X657" s="16">
        <f>IF(OR(U657="",Y657="Removed",Y657="Deindexed only",Y657="No action needed"),"",TODAY()-U657)</f>
        <v/>
      </c>
      <c r="Y657" s="18" t="n"/>
      <c r="Z657" s="17" t="n"/>
      <c r="AA657" s="18" t="n"/>
      <c r="AB657" s="19" t="n"/>
    </row>
    <row r="658">
      <c r="A658" s="16">
        <f>IF(C658="","",ROW()-1)</f>
        <v/>
      </c>
      <c r="B658" s="17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9" t="n"/>
      <c r="L658" s="19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7" t="n"/>
      <c r="V658" s="18" t="n"/>
      <c r="W658" s="20">
        <f>IF(U658="","",U658+Summary!$C$4)</f>
        <v/>
      </c>
      <c r="X658" s="16">
        <f>IF(OR(U658="",Y658="Removed",Y658="Deindexed only",Y658="No action needed"),"",TODAY()-U658)</f>
        <v/>
      </c>
      <c r="Y658" s="18" t="n"/>
      <c r="Z658" s="17" t="n"/>
      <c r="AA658" s="18" t="n"/>
      <c r="AB658" s="19" t="n"/>
    </row>
    <row r="659">
      <c r="A659" s="16">
        <f>IF(C659="","",ROW()-1)</f>
        <v/>
      </c>
      <c r="B659" s="17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9" t="n"/>
      <c r="L659" s="19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7" t="n"/>
      <c r="V659" s="18" t="n"/>
      <c r="W659" s="20">
        <f>IF(U659="","",U659+Summary!$C$4)</f>
        <v/>
      </c>
      <c r="X659" s="16">
        <f>IF(OR(U659="",Y659="Removed",Y659="Deindexed only",Y659="No action needed"),"",TODAY()-U659)</f>
        <v/>
      </c>
      <c r="Y659" s="18" t="n"/>
      <c r="Z659" s="17" t="n"/>
      <c r="AA659" s="18" t="n"/>
      <c r="AB659" s="19" t="n"/>
    </row>
    <row r="660">
      <c r="A660" s="16">
        <f>IF(C660="","",ROW()-1)</f>
        <v/>
      </c>
      <c r="B660" s="17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9" t="n"/>
      <c r="L660" s="19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7" t="n"/>
      <c r="V660" s="18" t="n"/>
      <c r="W660" s="20">
        <f>IF(U660="","",U660+Summary!$C$4)</f>
        <v/>
      </c>
      <c r="X660" s="16">
        <f>IF(OR(U660="",Y660="Removed",Y660="Deindexed only",Y660="No action needed"),"",TODAY()-U660)</f>
        <v/>
      </c>
      <c r="Y660" s="18" t="n"/>
      <c r="Z660" s="17" t="n"/>
      <c r="AA660" s="18" t="n"/>
      <c r="AB660" s="19" t="n"/>
    </row>
    <row r="661">
      <c r="A661" s="16">
        <f>IF(C661="","",ROW()-1)</f>
        <v/>
      </c>
      <c r="B661" s="17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9" t="n"/>
      <c r="L661" s="19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7" t="n"/>
      <c r="V661" s="18" t="n"/>
      <c r="W661" s="20">
        <f>IF(U661="","",U661+Summary!$C$4)</f>
        <v/>
      </c>
      <c r="X661" s="16">
        <f>IF(OR(U661="",Y661="Removed",Y661="Deindexed only",Y661="No action needed"),"",TODAY()-U661)</f>
        <v/>
      </c>
      <c r="Y661" s="18" t="n"/>
      <c r="Z661" s="17" t="n"/>
      <c r="AA661" s="18" t="n"/>
      <c r="AB661" s="19" t="n"/>
    </row>
    <row r="662">
      <c r="A662" s="16">
        <f>IF(C662="","",ROW()-1)</f>
        <v/>
      </c>
      <c r="B662" s="17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9" t="n"/>
      <c r="L662" s="19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7" t="n"/>
      <c r="V662" s="18" t="n"/>
      <c r="W662" s="20">
        <f>IF(U662="","",U662+Summary!$C$4)</f>
        <v/>
      </c>
      <c r="X662" s="16">
        <f>IF(OR(U662="",Y662="Removed",Y662="Deindexed only",Y662="No action needed"),"",TODAY()-U662)</f>
        <v/>
      </c>
      <c r="Y662" s="18" t="n"/>
      <c r="Z662" s="17" t="n"/>
      <c r="AA662" s="18" t="n"/>
      <c r="AB662" s="19" t="n"/>
    </row>
    <row r="663">
      <c r="A663" s="16">
        <f>IF(C663="","",ROW()-1)</f>
        <v/>
      </c>
      <c r="B663" s="17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9" t="n"/>
      <c r="L663" s="19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7" t="n"/>
      <c r="V663" s="18" t="n"/>
      <c r="W663" s="20">
        <f>IF(U663="","",U663+Summary!$C$4)</f>
        <v/>
      </c>
      <c r="X663" s="16">
        <f>IF(OR(U663="",Y663="Removed",Y663="Deindexed only",Y663="No action needed"),"",TODAY()-U663)</f>
        <v/>
      </c>
      <c r="Y663" s="18" t="n"/>
      <c r="Z663" s="17" t="n"/>
      <c r="AA663" s="18" t="n"/>
      <c r="AB663" s="19" t="n"/>
    </row>
    <row r="664">
      <c r="A664" s="16">
        <f>IF(C664="","",ROW()-1)</f>
        <v/>
      </c>
      <c r="B664" s="17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9" t="n"/>
      <c r="L664" s="19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7" t="n"/>
      <c r="V664" s="18" t="n"/>
      <c r="W664" s="20">
        <f>IF(U664="","",U664+Summary!$C$4)</f>
        <v/>
      </c>
      <c r="X664" s="16">
        <f>IF(OR(U664="",Y664="Removed",Y664="Deindexed only",Y664="No action needed"),"",TODAY()-U664)</f>
        <v/>
      </c>
      <c r="Y664" s="18" t="n"/>
      <c r="Z664" s="17" t="n"/>
      <c r="AA664" s="18" t="n"/>
      <c r="AB664" s="19" t="n"/>
    </row>
    <row r="665">
      <c r="A665" s="16">
        <f>IF(C665="","",ROW()-1)</f>
        <v/>
      </c>
      <c r="B665" s="17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9" t="n"/>
      <c r="L665" s="19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7" t="n"/>
      <c r="V665" s="18" t="n"/>
      <c r="W665" s="20">
        <f>IF(U665="","",U665+Summary!$C$4)</f>
        <v/>
      </c>
      <c r="X665" s="16">
        <f>IF(OR(U665="",Y665="Removed",Y665="Deindexed only",Y665="No action needed"),"",TODAY()-U665)</f>
        <v/>
      </c>
      <c r="Y665" s="18" t="n"/>
      <c r="Z665" s="17" t="n"/>
      <c r="AA665" s="18" t="n"/>
      <c r="AB665" s="19" t="n"/>
    </row>
    <row r="666">
      <c r="A666" s="16">
        <f>IF(C666="","",ROW()-1)</f>
        <v/>
      </c>
      <c r="B666" s="17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9" t="n"/>
      <c r="L666" s="19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7" t="n"/>
      <c r="V666" s="18" t="n"/>
      <c r="W666" s="20">
        <f>IF(U666="","",U666+Summary!$C$4)</f>
        <v/>
      </c>
      <c r="X666" s="16">
        <f>IF(OR(U666="",Y666="Removed",Y666="Deindexed only",Y666="No action needed"),"",TODAY()-U666)</f>
        <v/>
      </c>
      <c r="Y666" s="18" t="n"/>
      <c r="Z666" s="17" t="n"/>
      <c r="AA666" s="18" t="n"/>
      <c r="AB666" s="19" t="n"/>
    </row>
    <row r="667">
      <c r="A667" s="16">
        <f>IF(C667="","",ROW()-1)</f>
        <v/>
      </c>
      <c r="B667" s="17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9" t="n"/>
      <c r="L667" s="19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7" t="n"/>
      <c r="V667" s="18" t="n"/>
      <c r="W667" s="20">
        <f>IF(U667="","",U667+Summary!$C$4)</f>
        <v/>
      </c>
      <c r="X667" s="16">
        <f>IF(OR(U667="",Y667="Removed",Y667="Deindexed only",Y667="No action needed"),"",TODAY()-U667)</f>
        <v/>
      </c>
      <c r="Y667" s="18" t="n"/>
      <c r="Z667" s="17" t="n"/>
      <c r="AA667" s="18" t="n"/>
      <c r="AB667" s="19" t="n"/>
    </row>
    <row r="668">
      <c r="A668" s="16">
        <f>IF(C668="","",ROW()-1)</f>
        <v/>
      </c>
      <c r="B668" s="17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9" t="n"/>
      <c r="L668" s="19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7" t="n"/>
      <c r="V668" s="18" t="n"/>
      <c r="W668" s="20">
        <f>IF(U668="","",U668+Summary!$C$4)</f>
        <v/>
      </c>
      <c r="X668" s="16">
        <f>IF(OR(U668="",Y668="Removed",Y668="Deindexed only",Y668="No action needed"),"",TODAY()-U668)</f>
        <v/>
      </c>
      <c r="Y668" s="18" t="n"/>
      <c r="Z668" s="17" t="n"/>
      <c r="AA668" s="18" t="n"/>
      <c r="AB668" s="19" t="n"/>
    </row>
    <row r="669">
      <c r="A669" s="16">
        <f>IF(C669="","",ROW()-1)</f>
        <v/>
      </c>
      <c r="B669" s="17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9" t="n"/>
      <c r="L669" s="19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7" t="n"/>
      <c r="V669" s="18" t="n"/>
      <c r="W669" s="20">
        <f>IF(U669="","",U669+Summary!$C$4)</f>
        <v/>
      </c>
      <c r="X669" s="16">
        <f>IF(OR(U669="",Y669="Removed",Y669="Deindexed only",Y669="No action needed"),"",TODAY()-U669)</f>
        <v/>
      </c>
      <c r="Y669" s="18" t="n"/>
      <c r="Z669" s="17" t="n"/>
      <c r="AA669" s="18" t="n"/>
      <c r="AB669" s="19" t="n"/>
    </row>
    <row r="670">
      <c r="A670" s="16">
        <f>IF(C670="","",ROW()-1)</f>
        <v/>
      </c>
      <c r="B670" s="17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9" t="n"/>
      <c r="L670" s="19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7" t="n"/>
      <c r="V670" s="18" t="n"/>
      <c r="W670" s="20">
        <f>IF(U670="","",U670+Summary!$C$4)</f>
        <v/>
      </c>
      <c r="X670" s="16">
        <f>IF(OR(U670="",Y670="Removed",Y670="Deindexed only",Y670="No action needed"),"",TODAY()-U670)</f>
        <v/>
      </c>
      <c r="Y670" s="18" t="n"/>
      <c r="Z670" s="17" t="n"/>
      <c r="AA670" s="18" t="n"/>
      <c r="AB670" s="19" t="n"/>
    </row>
    <row r="671">
      <c r="A671" s="16">
        <f>IF(C671="","",ROW()-1)</f>
        <v/>
      </c>
      <c r="B671" s="17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9" t="n"/>
      <c r="L671" s="19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7" t="n"/>
      <c r="V671" s="18" t="n"/>
      <c r="W671" s="20">
        <f>IF(U671="","",U671+Summary!$C$4)</f>
        <v/>
      </c>
      <c r="X671" s="16">
        <f>IF(OR(U671="",Y671="Removed",Y671="Deindexed only",Y671="No action needed"),"",TODAY()-U671)</f>
        <v/>
      </c>
      <c r="Y671" s="18" t="n"/>
      <c r="Z671" s="17" t="n"/>
      <c r="AA671" s="18" t="n"/>
      <c r="AB671" s="19" t="n"/>
    </row>
    <row r="672">
      <c r="A672" s="16">
        <f>IF(C672="","",ROW()-1)</f>
        <v/>
      </c>
      <c r="B672" s="17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9" t="n"/>
      <c r="L672" s="19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7" t="n"/>
      <c r="V672" s="18" t="n"/>
      <c r="W672" s="20">
        <f>IF(U672="","",U672+Summary!$C$4)</f>
        <v/>
      </c>
      <c r="X672" s="16">
        <f>IF(OR(U672="",Y672="Removed",Y672="Deindexed only",Y672="No action needed"),"",TODAY()-U672)</f>
        <v/>
      </c>
      <c r="Y672" s="18" t="n"/>
      <c r="Z672" s="17" t="n"/>
      <c r="AA672" s="18" t="n"/>
      <c r="AB672" s="19" t="n"/>
    </row>
    <row r="673">
      <c r="A673" s="16">
        <f>IF(C673="","",ROW()-1)</f>
        <v/>
      </c>
      <c r="B673" s="17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9" t="n"/>
      <c r="L673" s="19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7" t="n"/>
      <c r="V673" s="18" t="n"/>
      <c r="W673" s="20">
        <f>IF(U673="","",U673+Summary!$C$4)</f>
        <v/>
      </c>
      <c r="X673" s="16">
        <f>IF(OR(U673="",Y673="Removed",Y673="Deindexed only",Y673="No action needed"),"",TODAY()-U673)</f>
        <v/>
      </c>
      <c r="Y673" s="18" t="n"/>
      <c r="Z673" s="17" t="n"/>
      <c r="AA673" s="18" t="n"/>
      <c r="AB673" s="19" t="n"/>
    </row>
    <row r="674">
      <c r="A674" s="16">
        <f>IF(C674="","",ROW()-1)</f>
        <v/>
      </c>
      <c r="B674" s="17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9" t="n"/>
      <c r="L674" s="19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7" t="n"/>
      <c r="V674" s="18" t="n"/>
      <c r="W674" s="20">
        <f>IF(U674="","",U674+Summary!$C$4)</f>
        <v/>
      </c>
      <c r="X674" s="16">
        <f>IF(OR(U674="",Y674="Removed",Y674="Deindexed only",Y674="No action needed"),"",TODAY()-U674)</f>
        <v/>
      </c>
      <c r="Y674" s="18" t="n"/>
      <c r="Z674" s="17" t="n"/>
      <c r="AA674" s="18" t="n"/>
      <c r="AB674" s="19" t="n"/>
    </row>
    <row r="675">
      <c r="A675" s="16">
        <f>IF(C675="","",ROW()-1)</f>
        <v/>
      </c>
      <c r="B675" s="17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9" t="n"/>
      <c r="L675" s="19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7" t="n"/>
      <c r="V675" s="18" t="n"/>
      <c r="W675" s="20">
        <f>IF(U675="","",U675+Summary!$C$4)</f>
        <v/>
      </c>
      <c r="X675" s="16">
        <f>IF(OR(U675="",Y675="Removed",Y675="Deindexed only",Y675="No action needed"),"",TODAY()-U675)</f>
        <v/>
      </c>
      <c r="Y675" s="18" t="n"/>
      <c r="Z675" s="17" t="n"/>
      <c r="AA675" s="18" t="n"/>
      <c r="AB675" s="19" t="n"/>
    </row>
    <row r="676">
      <c r="A676" s="16">
        <f>IF(C676="","",ROW()-1)</f>
        <v/>
      </c>
      <c r="B676" s="17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9" t="n"/>
      <c r="L676" s="19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7" t="n"/>
      <c r="V676" s="18" t="n"/>
      <c r="W676" s="20">
        <f>IF(U676="","",U676+Summary!$C$4)</f>
        <v/>
      </c>
      <c r="X676" s="16">
        <f>IF(OR(U676="",Y676="Removed",Y676="Deindexed only",Y676="No action needed"),"",TODAY()-U676)</f>
        <v/>
      </c>
      <c r="Y676" s="18" t="n"/>
      <c r="Z676" s="17" t="n"/>
      <c r="AA676" s="18" t="n"/>
      <c r="AB676" s="19" t="n"/>
    </row>
    <row r="677">
      <c r="A677" s="16">
        <f>IF(C677="","",ROW()-1)</f>
        <v/>
      </c>
      <c r="B677" s="17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9" t="n"/>
      <c r="L677" s="19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7" t="n"/>
      <c r="V677" s="18" t="n"/>
      <c r="W677" s="20">
        <f>IF(U677="","",U677+Summary!$C$4)</f>
        <v/>
      </c>
      <c r="X677" s="16">
        <f>IF(OR(U677="",Y677="Removed",Y677="Deindexed only",Y677="No action needed"),"",TODAY()-U677)</f>
        <v/>
      </c>
      <c r="Y677" s="18" t="n"/>
      <c r="Z677" s="17" t="n"/>
      <c r="AA677" s="18" t="n"/>
      <c r="AB677" s="19" t="n"/>
    </row>
    <row r="678">
      <c r="A678" s="16">
        <f>IF(C678="","",ROW()-1)</f>
        <v/>
      </c>
      <c r="B678" s="17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9" t="n"/>
      <c r="L678" s="19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7" t="n"/>
      <c r="V678" s="18" t="n"/>
      <c r="W678" s="20">
        <f>IF(U678="","",U678+Summary!$C$4)</f>
        <v/>
      </c>
      <c r="X678" s="16">
        <f>IF(OR(U678="",Y678="Removed",Y678="Deindexed only",Y678="No action needed"),"",TODAY()-U678)</f>
        <v/>
      </c>
      <c r="Y678" s="18" t="n"/>
      <c r="Z678" s="17" t="n"/>
      <c r="AA678" s="18" t="n"/>
      <c r="AB678" s="19" t="n"/>
    </row>
    <row r="679">
      <c r="A679" s="16">
        <f>IF(C679="","",ROW()-1)</f>
        <v/>
      </c>
      <c r="B679" s="17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9" t="n"/>
      <c r="L679" s="19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7" t="n"/>
      <c r="V679" s="18" t="n"/>
      <c r="W679" s="20">
        <f>IF(U679="","",U679+Summary!$C$4)</f>
        <v/>
      </c>
      <c r="X679" s="16">
        <f>IF(OR(U679="",Y679="Removed",Y679="Deindexed only",Y679="No action needed"),"",TODAY()-U679)</f>
        <v/>
      </c>
      <c r="Y679" s="18" t="n"/>
      <c r="Z679" s="17" t="n"/>
      <c r="AA679" s="18" t="n"/>
      <c r="AB679" s="19" t="n"/>
    </row>
    <row r="680">
      <c r="A680" s="16">
        <f>IF(C680="","",ROW()-1)</f>
        <v/>
      </c>
      <c r="B680" s="17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9" t="n"/>
      <c r="L680" s="19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7" t="n"/>
      <c r="V680" s="18" t="n"/>
      <c r="W680" s="20">
        <f>IF(U680="","",U680+Summary!$C$4)</f>
        <v/>
      </c>
      <c r="X680" s="16">
        <f>IF(OR(U680="",Y680="Removed",Y680="Deindexed only",Y680="No action needed"),"",TODAY()-U680)</f>
        <v/>
      </c>
      <c r="Y680" s="18" t="n"/>
      <c r="Z680" s="17" t="n"/>
      <c r="AA680" s="18" t="n"/>
      <c r="AB680" s="19" t="n"/>
    </row>
    <row r="681">
      <c r="A681" s="16">
        <f>IF(C681="","",ROW()-1)</f>
        <v/>
      </c>
      <c r="B681" s="17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9" t="n"/>
      <c r="L681" s="19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7" t="n"/>
      <c r="V681" s="18" t="n"/>
      <c r="W681" s="20">
        <f>IF(U681="","",U681+Summary!$C$4)</f>
        <v/>
      </c>
      <c r="X681" s="16">
        <f>IF(OR(U681="",Y681="Removed",Y681="Deindexed only",Y681="No action needed"),"",TODAY()-U681)</f>
        <v/>
      </c>
      <c r="Y681" s="18" t="n"/>
      <c r="Z681" s="17" t="n"/>
      <c r="AA681" s="18" t="n"/>
      <c r="AB681" s="19" t="n"/>
    </row>
    <row r="682">
      <c r="A682" s="16">
        <f>IF(C682="","",ROW()-1)</f>
        <v/>
      </c>
      <c r="B682" s="17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9" t="n"/>
      <c r="L682" s="19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7" t="n"/>
      <c r="V682" s="18" t="n"/>
      <c r="W682" s="20">
        <f>IF(U682="","",U682+Summary!$C$4)</f>
        <v/>
      </c>
      <c r="X682" s="16">
        <f>IF(OR(U682="",Y682="Removed",Y682="Deindexed only",Y682="No action needed"),"",TODAY()-U682)</f>
        <v/>
      </c>
      <c r="Y682" s="18" t="n"/>
      <c r="Z682" s="17" t="n"/>
      <c r="AA682" s="18" t="n"/>
      <c r="AB682" s="19" t="n"/>
    </row>
    <row r="683">
      <c r="A683" s="16">
        <f>IF(C683="","",ROW()-1)</f>
        <v/>
      </c>
      <c r="B683" s="17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9" t="n"/>
      <c r="L683" s="19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7" t="n"/>
      <c r="V683" s="18" t="n"/>
      <c r="W683" s="20">
        <f>IF(U683="","",U683+Summary!$C$4)</f>
        <v/>
      </c>
      <c r="X683" s="16">
        <f>IF(OR(U683="",Y683="Removed",Y683="Deindexed only",Y683="No action needed"),"",TODAY()-U683)</f>
        <v/>
      </c>
      <c r="Y683" s="18" t="n"/>
      <c r="Z683" s="17" t="n"/>
      <c r="AA683" s="18" t="n"/>
      <c r="AB683" s="19" t="n"/>
    </row>
    <row r="684">
      <c r="A684" s="16">
        <f>IF(C684="","",ROW()-1)</f>
        <v/>
      </c>
      <c r="B684" s="17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9" t="n"/>
      <c r="L684" s="19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7" t="n"/>
      <c r="V684" s="18" t="n"/>
      <c r="W684" s="20">
        <f>IF(U684="","",U684+Summary!$C$4)</f>
        <v/>
      </c>
      <c r="X684" s="16">
        <f>IF(OR(U684="",Y684="Removed",Y684="Deindexed only",Y684="No action needed"),"",TODAY()-U684)</f>
        <v/>
      </c>
      <c r="Y684" s="18" t="n"/>
      <c r="Z684" s="17" t="n"/>
      <c r="AA684" s="18" t="n"/>
      <c r="AB684" s="19" t="n"/>
    </row>
    <row r="685">
      <c r="A685" s="16">
        <f>IF(C685="","",ROW()-1)</f>
        <v/>
      </c>
      <c r="B685" s="17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9" t="n"/>
      <c r="L685" s="19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7" t="n"/>
      <c r="V685" s="18" t="n"/>
      <c r="W685" s="20">
        <f>IF(U685="","",U685+Summary!$C$4)</f>
        <v/>
      </c>
      <c r="X685" s="16">
        <f>IF(OR(U685="",Y685="Removed",Y685="Deindexed only",Y685="No action needed"),"",TODAY()-U685)</f>
        <v/>
      </c>
      <c r="Y685" s="18" t="n"/>
      <c r="Z685" s="17" t="n"/>
      <c r="AA685" s="18" t="n"/>
      <c r="AB685" s="19" t="n"/>
    </row>
    <row r="686">
      <c r="A686" s="16">
        <f>IF(C686="","",ROW()-1)</f>
        <v/>
      </c>
      <c r="B686" s="17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9" t="n"/>
      <c r="L686" s="19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7" t="n"/>
      <c r="V686" s="18" t="n"/>
      <c r="W686" s="20">
        <f>IF(U686="","",U686+Summary!$C$4)</f>
        <v/>
      </c>
      <c r="X686" s="16">
        <f>IF(OR(U686="",Y686="Removed",Y686="Deindexed only",Y686="No action needed"),"",TODAY()-U686)</f>
        <v/>
      </c>
      <c r="Y686" s="18" t="n"/>
      <c r="Z686" s="17" t="n"/>
      <c r="AA686" s="18" t="n"/>
      <c r="AB686" s="19" t="n"/>
    </row>
    <row r="687">
      <c r="A687" s="16">
        <f>IF(C687="","",ROW()-1)</f>
        <v/>
      </c>
      <c r="B687" s="17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9" t="n"/>
      <c r="L687" s="19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7" t="n"/>
      <c r="V687" s="18" t="n"/>
      <c r="W687" s="20">
        <f>IF(U687="","",U687+Summary!$C$4)</f>
        <v/>
      </c>
      <c r="X687" s="16">
        <f>IF(OR(U687="",Y687="Removed",Y687="Deindexed only",Y687="No action needed"),"",TODAY()-U687)</f>
        <v/>
      </c>
      <c r="Y687" s="18" t="n"/>
      <c r="Z687" s="17" t="n"/>
      <c r="AA687" s="18" t="n"/>
      <c r="AB687" s="19" t="n"/>
    </row>
    <row r="688">
      <c r="A688" s="16">
        <f>IF(C688="","",ROW()-1)</f>
        <v/>
      </c>
      <c r="B688" s="17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9" t="n"/>
      <c r="L688" s="19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7" t="n"/>
      <c r="V688" s="18" t="n"/>
      <c r="W688" s="20">
        <f>IF(U688="","",U688+Summary!$C$4)</f>
        <v/>
      </c>
      <c r="X688" s="16">
        <f>IF(OR(U688="",Y688="Removed",Y688="Deindexed only",Y688="No action needed"),"",TODAY()-U688)</f>
        <v/>
      </c>
      <c r="Y688" s="18" t="n"/>
      <c r="Z688" s="17" t="n"/>
      <c r="AA688" s="18" t="n"/>
      <c r="AB688" s="19" t="n"/>
    </row>
    <row r="689">
      <c r="A689" s="16">
        <f>IF(C689="","",ROW()-1)</f>
        <v/>
      </c>
      <c r="B689" s="17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9" t="n"/>
      <c r="L689" s="19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7" t="n"/>
      <c r="V689" s="18" t="n"/>
      <c r="W689" s="20">
        <f>IF(U689="","",U689+Summary!$C$4)</f>
        <v/>
      </c>
      <c r="X689" s="16">
        <f>IF(OR(U689="",Y689="Removed",Y689="Deindexed only",Y689="No action needed"),"",TODAY()-U689)</f>
        <v/>
      </c>
      <c r="Y689" s="18" t="n"/>
      <c r="Z689" s="17" t="n"/>
      <c r="AA689" s="18" t="n"/>
      <c r="AB689" s="19" t="n"/>
    </row>
    <row r="690">
      <c r="A690" s="16">
        <f>IF(C690="","",ROW()-1)</f>
        <v/>
      </c>
      <c r="B690" s="17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9" t="n"/>
      <c r="L690" s="19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7" t="n"/>
      <c r="V690" s="18" t="n"/>
      <c r="W690" s="20">
        <f>IF(U690="","",U690+Summary!$C$4)</f>
        <v/>
      </c>
      <c r="X690" s="16">
        <f>IF(OR(U690="",Y690="Removed",Y690="Deindexed only",Y690="No action needed"),"",TODAY()-U690)</f>
        <v/>
      </c>
      <c r="Y690" s="18" t="n"/>
      <c r="Z690" s="17" t="n"/>
      <c r="AA690" s="18" t="n"/>
      <c r="AB690" s="19" t="n"/>
    </row>
    <row r="691">
      <c r="A691" s="16">
        <f>IF(C691="","",ROW()-1)</f>
        <v/>
      </c>
      <c r="B691" s="17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9" t="n"/>
      <c r="L691" s="19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7" t="n"/>
      <c r="V691" s="18" t="n"/>
      <c r="W691" s="20">
        <f>IF(U691="","",U691+Summary!$C$4)</f>
        <v/>
      </c>
      <c r="X691" s="16">
        <f>IF(OR(U691="",Y691="Removed",Y691="Deindexed only",Y691="No action needed"),"",TODAY()-U691)</f>
        <v/>
      </c>
      <c r="Y691" s="18" t="n"/>
      <c r="Z691" s="17" t="n"/>
      <c r="AA691" s="18" t="n"/>
      <c r="AB691" s="19" t="n"/>
    </row>
    <row r="692">
      <c r="A692" s="16">
        <f>IF(C692="","",ROW()-1)</f>
        <v/>
      </c>
      <c r="B692" s="17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9" t="n"/>
      <c r="L692" s="19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7" t="n"/>
      <c r="V692" s="18" t="n"/>
      <c r="W692" s="20">
        <f>IF(U692="","",U692+Summary!$C$4)</f>
        <v/>
      </c>
      <c r="X692" s="16">
        <f>IF(OR(U692="",Y692="Removed",Y692="Deindexed only",Y692="No action needed"),"",TODAY()-U692)</f>
        <v/>
      </c>
      <c r="Y692" s="18" t="n"/>
      <c r="Z692" s="17" t="n"/>
      <c r="AA692" s="18" t="n"/>
      <c r="AB692" s="19" t="n"/>
    </row>
    <row r="693">
      <c r="A693" s="16">
        <f>IF(C693="","",ROW()-1)</f>
        <v/>
      </c>
      <c r="B693" s="17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9" t="n"/>
      <c r="L693" s="19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7" t="n"/>
      <c r="V693" s="18" t="n"/>
      <c r="W693" s="20">
        <f>IF(U693="","",U693+Summary!$C$4)</f>
        <v/>
      </c>
      <c r="X693" s="16">
        <f>IF(OR(U693="",Y693="Removed",Y693="Deindexed only",Y693="No action needed"),"",TODAY()-U693)</f>
        <v/>
      </c>
      <c r="Y693" s="18" t="n"/>
      <c r="Z693" s="17" t="n"/>
      <c r="AA693" s="18" t="n"/>
      <c r="AB693" s="19" t="n"/>
    </row>
    <row r="694">
      <c r="A694" s="16">
        <f>IF(C694="","",ROW()-1)</f>
        <v/>
      </c>
      <c r="B694" s="17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9" t="n"/>
      <c r="L694" s="19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7" t="n"/>
      <c r="V694" s="18" t="n"/>
      <c r="W694" s="20">
        <f>IF(U694="","",U694+Summary!$C$4)</f>
        <v/>
      </c>
      <c r="X694" s="16">
        <f>IF(OR(U694="",Y694="Removed",Y694="Deindexed only",Y694="No action needed"),"",TODAY()-U694)</f>
        <v/>
      </c>
      <c r="Y694" s="18" t="n"/>
      <c r="Z694" s="17" t="n"/>
      <c r="AA694" s="18" t="n"/>
      <c r="AB694" s="19" t="n"/>
    </row>
    <row r="695">
      <c r="A695" s="16">
        <f>IF(C695="","",ROW()-1)</f>
        <v/>
      </c>
      <c r="B695" s="17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9" t="n"/>
      <c r="L695" s="19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7" t="n"/>
      <c r="V695" s="18" t="n"/>
      <c r="W695" s="20">
        <f>IF(U695="","",U695+Summary!$C$4)</f>
        <v/>
      </c>
      <c r="X695" s="16">
        <f>IF(OR(U695="",Y695="Removed",Y695="Deindexed only",Y695="No action needed"),"",TODAY()-U695)</f>
        <v/>
      </c>
      <c r="Y695" s="18" t="n"/>
      <c r="Z695" s="17" t="n"/>
      <c r="AA695" s="18" t="n"/>
      <c r="AB695" s="19" t="n"/>
    </row>
    <row r="696">
      <c r="A696" s="16">
        <f>IF(C696="","",ROW()-1)</f>
        <v/>
      </c>
      <c r="B696" s="17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9" t="n"/>
      <c r="L696" s="19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7" t="n"/>
      <c r="V696" s="18" t="n"/>
      <c r="W696" s="20">
        <f>IF(U696="","",U696+Summary!$C$4)</f>
        <v/>
      </c>
      <c r="X696" s="16">
        <f>IF(OR(U696="",Y696="Removed",Y696="Deindexed only",Y696="No action needed"),"",TODAY()-U696)</f>
        <v/>
      </c>
      <c r="Y696" s="18" t="n"/>
      <c r="Z696" s="17" t="n"/>
      <c r="AA696" s="18" t="n"/>
      <c r="AB696" s="19" t="n"/>
    </row>
    <row r="697">
      <c r="A697" s="16">
        <f>IF(C697="","",ROW()-1)</f>
        <v/>
      </c>
      <c r="B697" s="17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9" t="n"/>
      <c r="L697" s="19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7" t="n"/>
      <c r="V697" s="18" t="n"/>
      <c r="W697" s="20">
        <f>IF(U697="","",U697+Summary!$C$4)</f>
        <v/>
      </c>
      <c r="X697" s="16">
        <f>IF(OR(U697="",Y697="Removed",Y697="Deindexed only",Y697="No action needed"),"",TODAY()-U697)</f>
        <v/>
      </c>
      <c r="Y697" s="18" t="n"/>
      <c r="Z697" s="17" t="n"/>
      <c r="AA697" s="18" t="n"/>
      <c r="AB697" s="19" t="n"/>
    </row>
    <row r="698">
      <c r="A698" s="16">
        <f>IF(C698="","",ROW()-1)</f>
        <v/>
      </c>
      <c r="B698" s="17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9" t="n"/>
      <c r="L698" s="19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7" t="n"/>
      <c r="V698" s="18" t="n"/>
      <c r="W698" s="20">
        <f>IF(U698="","",U698+Summary!$C$4)</f>
        <v/>
      </c>
      <c r="X698" s="16">
        <f>IF(OR(U698="",Y698="Removed",Y698="Deindexed only",Y698="No action needed"),"",TODAY()-U698)</f>
        <v/>
      </c>
      <c r="Y698" s="18" t="n"/>
      <c r="Z698" s="17" t="n"/>
      <c r="AA698" s="18" t="n"/>
      <c r="AB698" s="19" t="n"/>
    </row>
    <row r="699">
      <c r="A699" s="16">
        <f>IF(C699="","",ROW()-1)</f>
        <v/>
      </c>
      <c r="B699" s="17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9" t="n"/>
      <c r="L699" s="19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7" t="n"/>
      <c r="V699" s="18" t="n"/>
      <c r="W699" s="20">
        <f>IF(U699="","",U699+Summary!$C$4)</f>
        <v/>
      </c>
      <c r="X699" s="16">
        <f>IF(OR(U699="",Y699="Removed",Y699="Deindexed only",Y699="No action needed"),"",TODAY()-U699)</f>
        <v/>
      </c>
      <c r="Y699" s="18" t="n"/>
      <c r="Z699" s="17" t="n"/>
      <c r="AA699" s="18" t="n"/>
      <c r="AB699" s="19" t="n"/>
    </row>
    <row r="700">
      <c r="A700" s="16">
        <f>IF(C700="","",ROW()-1)</f>
        <v/>
      </c>
      <c r="B700" s="17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9" t="n"/>
      <c r="L700" s="19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7" t="n"/>
      <c r="V700" s="18" t="n"/>
      <c r="W700" s="20">
        <f>IF(U700="","",U700+Summary!$C$4)</f>
        <v/>
      </c>
      <c r="X700" s="16">
        <f>IF(OR(U700="",Y700="Removed",Y700="Deindexed only",Y700="No action needed"),"",TODAY()-U700)</f>
        <v/>
      </c>
      <c r="Y700" s="18" t="n"/>
      <c r="Z700" s="17" t="n"/>
      <c r="AA700" s="18" t="n"/>
      <c r="AB700" s="19" t="n"/>
    </row>
    <row r="701">
      <c r="A701" s="16">
        <f>IF(C701="","",ROW()-1)</f>
        <v/>
      </c>
      <c r="B701" s="17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9" t="n"/>
      <c r="L701" s="19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7" t="n"/>
      <c r="V701" s="18" t="n"/>
      <c r="W701" s="20">
        <f>IF(U701="","",U701+Summary!$C$4)</f>
        <v/>
      </c>
      <c r="X701" s="16">
        <f>IF(OR(U701="",Y701="Removed",Y701="Deindexed only",Y701="No action needed"),"",TODAY()-U701)</f>
        <v/>
      </c>
      <c r="Y701" s="18" t="n"/>
      <c r="Z701" s="17" t="n"/>
      <c r="AA701" s="18" t="n"/>
      <c r="AB701" s="19" t="n"/>
    </row>
    <row r="702">
      <c r="A702" s="16">
        <f>IF(C702="","",ROW()-1)</f>
        <v/>
      </c>
      <c r="B702" s="17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9" t="n"/>
      <c r="L702" s="19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7" t="n"/>
      <c r="V702" s="18" t="n"/>
      <c r="W702" s="20">
        <f>IF(U702="","",U702+Summary!$C$4)</f>
        <v/>
      </c>
      <c r="X702" s="16">
        <f>IF(OR(U702="",Y702="Removed",Y702="Deindexed only",Y702="No action needed"),"",TODAY()-U702)</f>
        <v/>
      </c>
      <c r="Y702" s="18" t="n"/>
      <c r="Z702" s="17" t="n"/>
      <c r="AA702" s="18" t="n"/>
      <c r="AB702" s="19" t="n"/>
    </row>
    <row r="703">
      <c r="A703" s="16">
        <f>IF(C703="","",ROW()-1)</f>
        <v/>
      </c>
      <c r="B703" s="17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9" t="n"/>
      <c r="L703" s="19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7" t="n"/>
      <c r="V703" s="18" t="n"/>
      <c r="W703" s="20">
        <f>IF(U703="","",U703+Summary!$C$4)</f>
        <v/>
      </c>
      <c r="X703" s="16">
        <f>IF(OR(U703="",Y703="Removed",Y703="Deindexed only",Y703="No action needed"),"",TODAY()-U703)</f>
        <v/>
      </c>
      <c r="Y703" s="18" t="n"/>
      <c r="Z703" s="17" t="n"/>
      <c r="AA703" s="18" t="n"/>
      <c r="AB703" s="19" t="n"/>
    </row>
    <row r="704">
      <c r="A704" s="16">
        <f>IF(C704="","",ROW()-1)</f>
        <v/>
      </c>
      <c r="B704" s="17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9" t="n"/>
      <c r="L704" s="19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7" t="n"/>
      <c r="V704" s="18" t="n"/>
      <c r="W704" s="20">
        <f>IF(U704="","",U704+Summary!$C$4)</f>
        <v/>
      </c>
      <c r="X704" s="16">
        <f>IF(OR(U704="",Y704="Removed",Y704="Deindexed only",Y704="No action needed"),"",TODAY()-U704)</f>
        <v/>
      </c>
      <c r="Y704" s="18" t="n"/>
      <c r="Z704" s="17" t="n"/>
      <c r="AA704" s="18" t="n"/>
      <c r="AB704" s="19" t="n"/>
    </row>
    <row r="705">
      <c r="A705" s="16">
        <f>IF(C705="","",ROW()-1)</f>
        <v/>
      </c>
      <c r="B705" s="17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9" t="n"/>
      <c r="L705" s="19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7" t="n"/>
      <c r="V705" s="18" t="n"/>
      <c r="W705" s="20">
        <f>IF(U705="","",U705+Summary!$C$4)</f>
        <v/>
      </c>
      <c r="X705" s="16">
        <f>IF(OR(U705="",Y705="Removed",Y705="Deindexed only",Y705="No action needed"),"",TODAY()-U705)</f>
        <v/>
      </c>
      <c r="Y705" s="18" t="n"/>
      <c r="Z705" s="17" t="n"/>
      <c r="AA705" s="18" t="n"/>
      <c r="AB705" s="19" t="n"/>
    </row>
    <row r="706">
      <c r="A706" s="16">
        <f>IF(C706="","",ROW()-1)</f>
        <v/>
      </c>
      <c r="B706" s="17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9" t="n"/>
      <c r="L706" s="19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7" t="n"/>
      <c r="V706" s="18" t="n"/>
      <c r="W706" s="20">
        <f>IF(U706="","",U706+Summary!$C$4)</f>
        <v/>
      </c>
      <c r="X706" s="16">
        <f>IF(OR(U706="",Y706="Removed",Y706="Deindexed only",Y706="No action needed"),"",TODAY()-U706)</f>
        <v/>
      </c>
      <c r="Y706" s="18" t="n"/>
      <c r="Z706" s="17" t="n"/>
      <c r="AA706" s="18" t="n"/>
      <c r="AB706" s="19" t="n"/>
    </row>
    <row r="707">
      <c r="A707" s="16">
        <f>IF(C707="","",ROW()-1)</f>
        <v/>
      </c>
      <c r="B707" s="17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9" t="n"/>
      <c r="L707" s="19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7" t="n"/>
      <c r="V707" s="18" t="n"/>
      <c r="W707" s="20">
        <f>IF(U707="","",U707+Summary!$C$4)</f>
        <v/>
      </c>
      <c r="X707" s="16">
        <f>IF(OR(U707="",Y707="Removed",Y707="Deindexed only",Y707="No action needed"),"",TODAY()-U707)</f>
        <v/>
      </c>
      <c r="Y707" s="18" t="n"/>
      <c r="Z707" s="17" t="n"/>
      <c r="AA707" s="18" t="n"/>
      <c r="AB707" s="19" t="n"/>
    </row>
    <row r="708">
      <c r="A708" s="16">
        <f>IF(C708="","",ROW()-1)</f>
        <v/>
      </c>
      <c r="B708" s="17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9" t="n"/>
      <c r="L708" s="19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7" t="n"/>
      <c r="V708" s="18" t="n"/>
      <c r="W708" s="20">
        <f>IF(U708="","",U708+Summary!$C$4)</f>
        <v/>
      </c>
      <c r="X708" s="16">
        <f>IF(OR(U708="",Y708="Removed",Y708="Deindexed only",Y708="No action needed"),"",TODAY()-U708)</f>
        <v/>
      </c>
      <c r="Y708" s="18" t="n"/>
      <c r="Z708" s="17" t="n"/>
      <c r="AA708" s="18" t="n"/>
      <c r="AB708" s="19" t="n"/>
    </row>
    <row r="709">
      <c r="A709" s="16">
        <f>IF(C709="","",ROW()-1)</f>
        <v/>
      </c>
      <c r="B709" s="17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9" t="n"/>
      <c r="L709" s="19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7" t="n"/>
      <c r="V709" s="18" t="n"/>
      <c r="W709" s="20">
        <f>IF(U709="","",U709+Summary!$C$4)</f>
        <v/>
      </c>
      <c r="X709" s="16">
        <f>IF(OR(U709="",Y709="Removed",Y709="Deindexed only",Y709="No action needed"),"",TODAY()-U709)</f>
        <v/>
      </c>
      <c r="Y709" s="18" t="n"/>
      <c r="Z709" s="17" t="n"/>
      <c r="AA709" s="18" t="n"/>
      <c r="AB709" s="19" t="n"/>
    </row>
    <row r="710">
      <c r="A710" s="16">
        <f>IF(C710="","",ROW()-1)</f>
        <v/>
      </c>
      <c r="B710" s="17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9" t="n"/>
      <c r="L710" s="19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7" t="n"/>
      <c r="V710" s="18" t="n"/>
      <c r="W710" s="20">
        <f>IF(U710="","",U710+Summary!$C$4)</f>
        <v/>
      </c>
      <c r="X710" s="16">
        <f>IF(OR(U710="",Y710="Removed",Y710="Deindexed only",Y710="No action needed"),"",TODAY()-U710)</f>
        <v/>
      </c>
      <c r="Y710" s="18" t="n"/>
      <c r="Z710" s="17" t="n"/>
      <c r="AA710" s="18" t="n"/>
      <c r="AB710" s="19" t="n"/>
    </row>
    <row r="711">
      <c r="A711" s="16">
        <f>IF(C711="","",ROW()-1)</f>
        <v/>
      </c>
      <c r="B711" s="17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9" t="n"/>
      <c r="L711" s="19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7" t="n"/>
      <c r="V711" s="18" t="n"/>
      <c r="W711" s="20">
        <f>IF(U711="","",U711+Summary!$C$4)</f>
        <v/>
      </c>
      <c r="X711" s="16">
        <f>IF(OR(U711="",Y711="Removed",Y711="Deindexed only",Y711="No action needed"),"",TODAY()-U711)</f>
        <v/>
      </c>
      <c r="Y711" s="18" t="n"/>
      <c r="Z711" s="17" t="n"/>
      <c r="AA711" s="18" t="n"/>
      <c r="AB711" s="19" t="n"/>
    </row>
    <row r="712">
      <c r="A712" s="16">
        <f>IF(C712="","",ROW()-1)</f>
        <v/>
      </c>
      <c r="B712" s="17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9" t="n"/>
      <c r="L712" s="19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7" t="n"/>
      <c r="V712" s="18" t="n"/>
      <c r="W712" s="20">
        <f>IF(U712="","",U712+Summary!$C$4)</f>
        <v/>
      </c>
      <c r="X712" s="16">
        <f>IF(OR(U712="",Y712="Removed",Y712="Deindexed only",Y712="No action needed"),"",TODAY()-U712)</f>
        <v/>
      </c>
      <c r="Y712" s="18" t="n"/>
      <c r="Z712" s="17" t="n"/>
      <c r="AA712" s="18" t="n"/>
      <c r="AB712" s="19" t="n"/>
    </row>
    <row r="713">
      <c r="A713" s="16">
        <f>IF(C713="","",ROW()-1)</f>
        <v/>
      </c>
      <c r="B713" s="17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9" t="n"/>
      <c r="L713" s="19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7" t="n"/>
      <c r="V713" s="18" t="n"/>
      <c r="W713" s="20">
        <f>IF(U713="","",U713+Summary!$C$4)</f>
        <v/>
      </c>
      <c r="X713" s="16">
        <f>IF(OR(U713="",Y713="Removed",Y713="Deindexed only",Y713="No action needed"),"",TODAY()-U713)</f>
        <v/>
      </c>
      <c r="Y713" s="18" t="n"/>
      <c r="Z713" s="17" t="n"/>
      <c r="AA713" s="18" t="n"/>
      <c r="AB713" s="19" t="n"/>
    </row>
    <row r="714">
      <c r="A714" s="16">
        <f>IF(C714="","",ROW()-1)</f>
        <v/>
      </c>
      <c r="B714" s="17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9" t="n"/>
      <c r="L714" s="19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7" t="n"/>
      <c r="V714" s="18" t="n"/>
      <c r="W714" s="20">
        <f>IF(U714="","",U714+Summary!$C$4)</f>
        <v/>
      </c>
      <c r="X714" s="16">
        <f>IF(OR(U714="",Y714="Removed",Y714="Deindexed only",Y714="No action needed"),"",TODAY()-U714)</f>
        <v/>
      </c>
      <c r="Y714" s="18" t="n"/>
      <c r="Z714" s="17" t="n"/>
      <c r="AA714" s="18" t="n"/>
      <c r="AB714" s="19" t="n"/>
    </row>
    <row r="715">
      <c r="A715" s="16">
        <f>IF(C715="","",ROW()-1)</f>
        <v/>
      </c>
      <c r="B715" s="17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9" t="n"/>
      <c r="L715" s="19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7" t="n"/>
      <c r="V715" s="18" t="n"/>
      <c r="W715" s="20">
        <f>IF(U715="","",U715+Summary!$C$4)</f>
        <v/>
      </c>
      <c r="X715" s="16">
        <f>IF(OR(U715="",Y715="Removed",Y715="Deindexed only",Y715="No action needed"),"",TODAY()-U715)</f>
        <v/>
      </c>
      <c r="Y715" s="18" t="n"/>
      <c r="Z715" s="17" t="n"/>
      <c r="AA715" s="18" t="n"/>
      <c r="AB715" s="19" t="n"/>
    </row>
    <row r="716">
      <c r="A716" s="16">
        <f>IF(C716="","",ROW()-1)</f>
        <v/>
      </c>
      <c r="B716" s="17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9" t="n"/>
      <c r="L716" s="19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7" t="n"/>
      <c r="V716" s="18" t="n"/>
      <c r="W716" s="20">
        <f>IF(U716="","",U716+Summary!$C$4)</f>
        <v/>
      </c>
      <c r="X716" s="16">
        <f>IF(OR(U716="",Y716="Removed",Y716="Deindexed only",Y716="No action needed"),"",TODAY()-U716)</f>
        <v/>
      </c>
      <c r="Y716" s="18" t="n"/>
      <c r="Z716" s="17" t="n"/>
      <c r="AA716" s="18" t="n"/>
      <c r="AB716" s="19" t="n"/>
    </row>
    <row r="717">
      <c r="A717" s="16">
        <f>IF(C717="","",ROW()-1)</f>
        <v/>
      </c>
      <c r="B717" s="17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9" t="n"/>
      <c r="L717" s="19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7" t="n"/>
      <c r="V717" s="18" t="n"/>
      <c r="W717" s="20">
        <f>IF(U717="","",U717+Summary!$C$4)</f>
        <v/>
      </c>
      <c r="X717" s="16">
        <f>IF(OR(U717="",Y717="Removed",Y717="Deindexed only",Y717="No action needed"),"",TODAY()-U717)</f>
        <v/>
      </c>
      <c r="Y717" s="18" t="n"/>
      <c r="Z717" s="17" t="n"/>
      <c r="AA717" s="18" t="n"/>
      <c r="AB717" s="19" t="n"/>
    </row>
    <row r="718">
      <c r="A718" s="16">
        <f>IF(C718="","",ROW()-1)</f>
        <v/>
      </c>
      <c r="B718" s="17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9" t="n"/>
      <c r="L718" s="19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7" t="n"/>
      <c r="V718" s="18" t="n"/>
      <c r="W718" s="20">
        <f>IF(U718="","",U718+Summary!$C$4)</f>
        <v/>
      </c>
      <c r="X718" s="16">
        <f>IF(OR(U718="",Y718="Removed",Y718="Deindexed only",Y718="No action needed"),"",TODAY()-U718)</f>
        <v/>
      </c>
      <c r="Y718" s="18" t="n"/>
      <c r="Z718" s="17" t="n"/>
      <c r="AA718" s="18" t="n"/>
      <c r="AB718" s="19" t="n"/>
    </row>
    <row r="719">
      <c r="A719" s="16">
        <f>IF(C719="","",ROW()-1)</f>
        <v/>
      </c>
      <c r="B719" s="17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9" t="n"/>
      <c r="L719" s="19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7" t="n"/>
      <c r="V719" s="18" t="n"/>
      <c r="W719" s="20">
        <f>IF(U719="","",U719+Summary!$C$4)</f>
        <v/>
      </c>
      <c r="X719" s="16">
        <f>IF(OR(U719="",Y719="Removed",Y719="Deindexed only",Y719="No action needed"),"",TODAY()-U719)</f>
        <v/>
      </c>
      <c r="Y719" s="18" t="n"/>
      <c r="Z719" s="17" t="n"/>
      <c r="AA719" s="18" t="n"/>
      <c r="AB719" s="19" t="n"/>
    </row>
    <row r="720">
      <c r="A720" s="16">
        <f>IF(C720="","",ROW()-1)</f>
        <v/>
      </c>
      <c r="B720" s="17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9" t="n"/>
      <c r="L720" s="19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7" t="n"/>
      <c r="V720" s="18" t="n"/>
      <c r="W720" s="20">
        <f>IF(U720="","",U720+Summary!$C$4)</f>
        <v/>
      </c>
      <c r="X720" s="16">
        <f>IF(OR(U720="",Y720="Removed",Y720="Deindexed only",Y720="No action needed"),"",TODAY()-U720)</f>
        <v/>
      </c>
      <c r="Y720" s="18" t="n"/>
      <c r="Z720" s="17" t="n"/>
      <c r="AA720" s="18" t="n"/>
      <c r="AB720" s="19" t="n"/>
    </row>
    <row r="721">
      <c r="A721" s="16">
        <f>IF(C721="","",ROW()-1)</f>
        <v/>
      </c>
      <c r="B721" s="17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9" t="n"/>
      <c r="L721" s="19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7" t="n"/>
      <c r="V721" s="18" t="n"/>
      <c r="W721" s="20">
        <f>IF(U721="","",U721+Summary!$C$4)</f>
        <v/>
      </c>
      <c r="X721" s="16">
        <f>IF(OR(U721="",Y721="Removed",Y721="Deindexed only",Y721="No action needed"),"",TODAY()-U721)</f>
        <v/>
      </c>
      <c r="Y721" s="18" t="n"/>
      <c r="Z721" s="17" t="n"/>
      <c r="AA721" s="18" t="n"/>
      <c r="AB721" s="19" t="n"/>
    </row>
    <row r="722">
      <c r="A722" s="16">
        <f>IF(C722="","",ROW()-1)</f>
        <v/>
      </c>
      <c r="B722" s="17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9" t="n"/>
      <c r="L722" s="19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7" t="n"/>
      <c r="V722" s="18" t="n"/>
      <c r="W722" s="20">
        <f>IF(U722="","",U722+Summary!$C$4)</f>
        <v/>
      </c>
      <c r="X722" s="16">
        <f>IF(OR(U722="",Y722="Removed",Y722="Deindexed only",Y722="No action needed"),"",TODAY()-U722)</f>
        <v/>
      </c>
      <c r="Y722" s="18" t="n"/>
      <c r="Z722" s="17" t="n"/>
      <c r="AA722" s="18" t="n"/>
      <c r="AB722" s="19" t="n"/>
    </row>
    <row r="723">
      <c r="A723" s="16">
        <f>IF(C723="","",ROW()-1)</f>
        <v/>
      </c>
      <c r="B723" s="17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9" t="n"/>
      <c r="L723" s="19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7" t="n"/>
      <c r="V723" s="18" t="n"/>
      <c r="W723" s="20">
        <f>IF(U723="","",U723+Summary!$C$4)</f>
        <v/>
      </c>
      <c r="X723" s="16">
        <f>IF(OR(U723="",Y723="Removed",Y723="Deindexed only",Y723="No action needed"),"",TODAY()-U723)</f>
        <v/>
      </c>
      <c r="Y723" s="18" t="n"/>
      <c r="Z723" s="17" t="n"/>
      <c r="AA723" s="18" t="n"/>
      <c r="AB723" s="19" t="n"/>
    </row>
    <row r="724">
      <c r="A724" s="16">
        <f>IF(C724="","",ROW()-1)</f>
        <v/>
      </c>
      <c r="B724" s="17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9" t="n"/>
      <c r="L724" s="19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7" t="n"/>
      <c r="V724" s="18" t="n"/>
      <c r="W724" s="20">
        <f>IF(U724="","",U724+Summary!$C$4)</f>
        <v/>
      </c>
      <c r="X724" s="16">
        <f>IF(OR(U724="",Y724="Removed",Y724="Deindexed only",Y724="No action needed"),"",TODAY()-U724)</f>
        <v/>
      </c>
      <c r="Y724" s="18" t="n"/>
      <c r="Z724" s="17" t="n"/>
      <c r="AA724" s="18" t="n"/>
      <c r="AB724" s="19" t="n"/>
    </row>
    <row r="725">
      <c r="A725" s="16">
        <f>IF(C725="","",ROW()-1)</f>
        <v/>
      </c>
      <c r="B725" s="17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9" t="n"/>
      <c r="L725" s="19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7" t="n"/>
      <c r="V725" s="18" t="n"/>
      <c r="W725" s="20">
        <f>IF(U725="","",U725+Summary!$C$4)</f>
        <v/>
      </c>
      <c r="X725" s="16">
        <f>IF(OR(U725="",Y725="Removed",Y725="Deindexed only",Y725="No action needed"),"",TODAY()-U725)</f>
        <v/>
      </c>
      <c r="Y725" s="18" t="n"/>
      <c r="Z725" s="17" t="n"/>
      <c r="AA725" s="18" t="n"/>
      <c r="AB725" s="19" t="n"/>
    </row>
    <row r="726">
      <c r="A726" s="16">
        <f>IF(C726="","",ROW()-1)</f>
        <v/>
      </c>
      <c r="B726" s="17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9" t="n"/>
      <c r="L726" s="19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7" t="n"/>
      <c r="V726" s="18" t="n"/>
      <c r="W726" s="20">
        <f>IF(U726="","",U726+Summary!$C$4)</f>
        <v/>
      </c>
      <c r="X726" s="16">
        <f>IF(OR(U726="",Y726="Removed",Y726="Deindexed only",Y726="No action needed"),"",TODAY()-U726)</f>
        <v/>
      </c>
      <c r="Y726" s="18" t="n"/>
      <c r="Z726" s="17" t="n"/>
      <c r="AA726" s="18" t="n"/>
      <c r="AB726" s="19" t="n"/>
    </row>
    <row r="727">
      <c r="A727" s="16">
        <f>IF(C727="","",ROW()-1)</f>
        <v/>
      </c>
      <c r="B727" s="17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9" t="n"/>
      <c r="L727" s="19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7" t="n"/>
      <c r="V727" s="18" t="n"/>
      <c r="W727" s="20">
        <f>IF(U727="","",U727+Summary!$C$4)</f>
        <v/>
      </c>
      <c r="X727" s="16">
        <f>IF(OR(U727="",Y727="Removed",Y727="Deindexed only",Y727="No action needed"),"",TODAY()-U727)</f>
        <v/>
      </c>
      <c r="Y727" s="18" t="n"/>
      <c r="Z727" s="17" t="n"/>
      <c r="AA727" s="18" t="n"/>
      <c r="AB727" s="19" t="n"/>
    </row>
    <row r="728">
      <c r="A728" s="16">
        <f>IF(C728="","",ROW()-1)</f>
        <v/>
      </c>
      <c r="B728" s="17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9" t="n"/>
      <c r="L728" s="19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7" t="n"/>
      <c r="V728" s="18" t="n"/>
      <c r="W728" s="20">
        <f>IF(U728="","",U728+Summary!$C$4)</f>
        <v/>
      </c>
      <c r="X728" s="16">
        <f>IF(OR(U728="",Y728="Removed",Y728="Deindexed only",Y728="No action needed"),"",TODAY()-U728)</f>
        <v/>
      </c>
      <c r="Y728" s="18" t="n"/>
      <c r="Z728" s="17" t="n"/>
      <c r="AA728" s="18" t="n"/>
      <c r="AB728" s="19" t="n"/>
    </row>
    <row r="729">
      <c r="A729" s="16">
        <f>IF(C729="","",ROW()-1)</f>
        <v/>
      </c>
      <c r="B729" s="17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9" t="n"/>
      <c r="L729" s="19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7" t="n"/>
      <c r="V729" s="18" t="n"/>
      <c r="W729" s="20">
        <f>IF(U729="","",U729+Summary!$C$4)</f>
        <v/>
      </c>
      <c r="X729" s="16">
        <f>IF(OR(U729="",Y729="Removed",Y729="Deindexed only",Y729="No action needed"),"",TODAY()-U729)</f>
        <v/>
      </c>
      <c r="Y729" s="18" t="n"/>
      <c r="Z729" s="17" t="n"/>
      <c r="AA729" s="18" t="n"/>
      <c r="AB729" s="19" t="n"/>
    </row>
    <row r="730">
      <c r="A730" s="16">
        <f>IF(C730="","",ROW()-1)</f>
        <v/>
      </c>
      <c r="B730" s="17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9" t="n"/>
      <c r="L730" s="19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7" t="n"/>
      <c r="V730" s="18" t="n"/>
      <c r="W730" s="20">
        <f>IF(U730="","",U730+Summary!$C$4)</f>
        <v/>
      </c>
      <c r="X730" s="16">
        <f>IF(OR(U730="",Y730="Removed",Y730="Deindexed only",Y730="No action needed"),"",TODAY()-U730)</f>
        <v/>
      </c>
      <c r="Y730" s="18" t="n"/>
      <c r="Z730" s="17" t="n"/>
      <c r="AA730" s="18" t="n"/>
      <c r="AB730" s="19" t="n"/>
    </row>
    <row r="731">
      <c r="A731" s="16">
        <f>IF(C731="","",ROW()-1)</f>
        <v/>
      </c>
      <c r="B731" s="17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9" t="n"/>
      <c r="L731" s="19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7" t="n"/>
      <c r="V731" s="18" t="n"/>
      <c r="W731" s="20">
        <f>IF(U731="","",U731+Summary!$C$4)</f>
        <v/>
      </c>
      <c r="X731" s="16">
        <f>IF(OR(U731="",Y731="Removed",Y731="Deindexed only",Y731="No action needed"),"",TODAY()-U731)</f>
        <v/>
      </c>
      <c r="Y731" s="18" t="n"/>
      <c r="Z731" s="17" t="n"/>
      <c r="AA731" s="18" t="n"/>
      <c r="AB731" s="19" t="n"/>
    </row>
    <row r="732">
      <c r="A732" s="16">
        <f>IF(C732="","",ROW()-1)</f>
        <v/>
      </c>
      <c r="B732" s="17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9" t="n"/>
      <c r="L732" s="19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7" t="n"/>
      <c r="V732" s="18" t="n"/>
      <c r="W732" s="20">
        <f>IF(U732="","",U732+Summary!$C$4)</f>
        <v/>
      </c>
      <c r="X732" s="16">
        <f>IF(OR(U732="",Y732="Removed",Y732="Deindexed only",Y732="No action needed"),"",TODAY()-U732)</f>
        <v/>
      </c>
      <c r="Y732" s="18" t="n"/>
      <c r="Z732" s="17" t="n"/>
      <c r="AA732" s="18" t="n"/>
      <c r="AB732" s="19" t="n"/>
    </row>
    <row r="733">
      <c r="A733" s="16">
        <f>IF(C733="","",ROW()-1)</f>
        <v/>
      </c>
      <c r="B733" s="17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9" t="n"/>
      <c r="L733" s="19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7" t="n"/>
      <c r="V733" s="18" t="n"/>
      <c r="W733" s="20">
        <f>IF(U733="","",U733+Summary!$C$4)</f>
        <v/>
      </c>
      <c r="X733" s="16">
        <f>IF(OR(U733="",Y733="Removed",Y733="Deindexed only",Y733="No action needed"),"",TODAY()-U733)</f>
        <v/>
      </c>
      <c r="Y733" s="18" t="n"/>
      <c r="Z733" s="17" t="n"/>
      <c r="AA733" s="18" t="n"/>
      <c r="AB733" s="19" t="n"/>
    </row>
    <row r="734">
      <c r="A734" s="16">
        <f>IF(C734="","",ROW()-1)</f>
        <v/>
      </c>
      <c r="B734" s="17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9" t="n"/>
      <c r="L734" s="19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7" t="n"/>
      <c r="V734" s="18" t="n"/>
      <c r="W734" s="20">
        <f>IF(U734="","",U734+Summary!$C$4)</f>
        <v/>
      </c>
      <c r="X734" s="16">
        <f>IF(OR(U734="",Y734="Removed",Y734="Deindexed only",Y734="No action needed"),"",TODAY()-U734)</f>
        <v/>
      </c>
      <c r="Y734" s="18" t="n"/>
      <c r="Z734" s="17" t="n"/>
      <c r="AA734" s="18" t="n"/>
      <c r="AB734" s="19" t="n"/>
    </row>
    <row r="735">
      <c r="A735" s="16">
        <f>IF(C735="","",ROW()-1)</f>
        <v/>
      </c>
      <c r="B735" s="17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9" t="n"/>
      <c r="L735" s="19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7" t="n"/>
      <c r="V735" s="18" t="n"/>
      <c r="W735" s="20">
        <f>IF(U735="","",U735+Summary!$C$4)</f>
        <v/>
      </c>
      <c r="X735" s="16">
        <f>IF(OR(U735="",Y735="Removed",Y735="Deindexed only",Y735="No action needed"),"",TODAY()-U735)</f>
        <v/>
      </c>
      <c r="Y735" s="18" t="n"/>
      <c r="Z735" s="17" t="n"/>
      <c r="AA735" s="18" t="n"/>
      <c r="AB735" s="19" t="n"/>
    </row>
    <row r="736">
      <c r="A736" s="16">
        <f>IF(C736="","",ROW()-1)</f>
        <v/>
      </c>
      <c r="B736" s="17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9" t="n"/>
      <c r="L736" s="19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7" t="n"/>
      <c r="V736" s="18" t="n"/>
      <c r="W736" s="20">
        <f>IF(U736="","",U736+Summary!$C$4)</f>
        <v/>
      </c>
      <c r="X736" s="16">
        <f>IF(OR(U736="",Y736="Removed",Y736="Deindexed only",Y736="No action needed"),"",TODAY()-U736)</f>
        <v/>
      </c>
      <c r="Y736" s="18" t="n"/>
      <c r="Z736" s="17" t="n"/>
      <c r="AA736" s="18" t="n"/>
      <c r="AB736" s="19" t="n"/>
    </row>
    <row r="737">
      <c r="A737" s="16">
        <f>IF(C737="","",ROW()-1)</f>
        <v/>
      </c>
      <c r="B737" s="17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9" t="n"/>
      <c r="L737" s="19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7" t="n"/>
      <c r="V737" s="18" t="n"/>
      <c r="W737" s="20">
        <f>IF(U737="","",U737+Summary!$C$4)</f>
        <v/>
      </c>
      <c r="X737" s="16">
        <f>IF(OR(U737="",Y737="Removed",Y737="Deindexed only",Y737="No action needed"),"",TODAY()-U737)</f>
        <v/>
      </c>
      <c r="Y737" s="18" t="n"/>
      <c r="Z737" s="17" t="n"/>
      <c r="AA737" s="18" t="n"/>
      <c r="AB737" s="19" t="n"/>
    </row>
    <row r="738">
      <c r="A738" s="16">
        <f>IF(C738="","",ROW()-1)</f>
        <v/>
      </c>
      <c r="B738" s="17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9" t="n"/>
      <c r="L738" s="19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7" t="n"/>
      <c r="V738" s="18" t="n"/>
      <c r="W738" s="20">
        <f>IF(U738="","",U738+Summary!$C$4)</f>
        <v/>
      </c>
      <c r="X738" s="16">
        <f>IF(OR(U738="",Y738="Removed",Y738="Deindexed only",Y738="No action needed"),"",TODAY()-U738)</f>
        <v/>
      </c>
      <c r="Y738" s="18" t="n"/>
      <c r="Z738" s="17" t="n"/>
      <c r="AA738" s="18" t="n"/>
      <c r="AB738" s="19" t="n"/>
    </row>
    <row r="739">
      <c r="A739" s="16">
        <f>IF(C739="","",ROW()-1)</f>
        <v/>
      </c>
      <c r="B739" s="17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9" t="n"/>
      <c r="L739" s="19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7" t="n"/>
      <c r="V739" s="18" t="n"/>
      <c r="W739" s="20">
        <f>IF(U739="","",U739+Summary!$C$4)</f>
        <v/>
      </c>
      <c r="X739" s="16">
        <f>IF(OR(U739="",Y739="Removed",Y739="Deindexed only",Y739="No action needed"),"",TODAY()-U739)</f>
        <v/>
      </c>
      <c r="Y739" s="18" t="n"/>
      <c r="Z739" s="17" t="n"/>
      <c r="AA739" s="18" t="n"/>
      <c r="AB739" s="19" t="n"/>
    </row>
    <row r="740">
      <c r="A740" s="16">
        <f>IF(C740="","",ROW()-1)</f>
        <v/>
      </c>
      <c r="B740" s="17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9" t="n"/>
      <c r="L740" s="19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7" t="n"/>
      <c r="V740" s="18" t="n"/>
      <c r="W740" s="20">
        <f>IF(U740="","",U740+Summary!$C$4)</f>
        <v/>
      </c>
      <c r="X740" s="16">
        <f>IF(OR(U740="",Y740="Removed",Y740="Deindexed only",Y740="No action needed"),"",TODAY()-U740)</f>
        <v/>
      </c>
      <c r="Y740" s="18" t="n"/>
      <c r="Z740" s="17" t="n"/>
      <c r="AA740" s="18" t="n"/>
      <c r="AB740" s="19" t="n"/>
    </row>
    <row r="741">
      <c r="A741" s="16">
        <f>IF(C741="","",ROW()-1)</f>
        <v/>
      </c>
      <c r="B741" s="17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9" t="n"/>
      <c r="L741" s="19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7" t="n"/>
      <c r="V741" s="18" t="n"/>
      <c r="W741" s="20">
        <f>IF(U741="","",U741+Summary!$C$4)</f>
        <v/>
      </c>
      <c r="X741" s="16">
        <f>IF(OR(U741="",Y741="Removed",Y741="Deindexed only",Y741="No action needed"),"",TODAY()-U741)</f>
        <v/>
      </c>
      <c r="Y741" s="18" t="n"/>
      <c r="Z741" s="17" t="n"/>
      <c r="AA741" s="18" t="n"/>
      <c r="AB741" s="19" t="n"/>
    </row>
    <row r="742">
      <c r="A742" s="16">
        <f>IF(C742="","",ROW()-1)</f>
        <v/>
      </c>
      <c r="B742" s="17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9" t="n"/>
      <c r="L742" s="19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7" t="n"/>
      <c r="V742" s="18" t="n"/>
      <c r="W742" s="20">
        <f>IF(U742="","",U742+Summary!$C$4)</f>
        <v/>
      </c>
      <c r="X742" s="16">
        <f>IF(OR(U742="",Y742="Removed",Y742="Deindexed only",Y742="No action needed"),"",TODAY()-U742)</f>
        <v/>
      </c>
      <c r="Y742" s="18" t="n"/>
      <c r="Z742" s="17" t="n"/>
      <c r="AA742" s="18" t="n"/>
      <c r="AB742" s="19" t="n"/>
    </row>
    <row r="743">
      <c r="A743" s="16">
        <f>IF(C743="","",ROW()-1)</f>
        <v/>
      </c>
      <c r="B743" s="17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9" t="n"/>
      <c r="L743" s="19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7" t="n"/>
      <c r="V743" s="18" t="n"/>
      <c r="W743" s="20">
        <f>IF(U743="","",U743+Summary!$C$4)</f>
        <v/>
      </c>
      <c r="X743" s="16">
        <f>IF(OR(U743="",Y743="Removed",Y743="Deindexed only",Y743="No action needed"),"",TODAY()-U743)</f>
        <v/>
      </c>
      <c r="Y743" s="18" t="n"/>
      <c r="Z743" s="17" t="n"/>
      <c r="AA743" s="18" t="n"/>
      <c r="AB743" s="19" t="n"/>
    </row>
    <row r="744">
      <c r="A744" s="16">
        <f>IF(C744="","",ROW()-1)</f>
        <v/>
      </c>
      <c r="B744" s="17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9" t="n"/>
      <c r="L744" s="19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7" t="n"/>
      <c r="V744" s="18" t="n"/>
      <c r="W744" s="20">
        <f>IF(U744="","",U744+Summary!$C$4)</f>
        <v/>
      </c>
      <c r="X744" s="16">
        <f>IF(OR(U744="",Y744="Removed",Y744="Deindexed only",Y744="No action needed"),"",TODAY()-U744)</f>
        <v/>
      </c>
      <c r="Y744" s="18" t="n"/>
      <c r="Z744" s="17" t="n"/>
      <c r="AA744" s="18" t="n"/>
      <c r="AB744" s="19" t="n"/>
    </row>
    <row r="745">
      <c r="A745" s="16">
        <f>IF(C745="","",ROW()-1)</f>
        <v/>
      </c>
      <c r="B745" s="17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9" t="n"/>
      <c r="L745" s="19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7" t="n"/>
      <c r="V745" s="18" t="n"/>
      <c r="W745" s="20">
        <f>IF(U745="","",U745+Summary!$C$4)</f>
        <v/>
      </c>
      <c r="X745" s="16">
        <f>IF(OR(U745="",Y745="Removed",Y745="Deindexed only",Y745="No action needed"),"",TODAY()-U745)</f>
        <v/>
      </c>
      <c r="Y745" s="18" t="n"/>
      <c r="Z745" s="17" t="n"/>
      <c r="AA745" s="18" t="n"/>
      <c r="AB745" s="19" t="n"/>
    </row>
    <row r="746">
      <c r="A746" s="16">
        <f>IF(C746="","",ROW()-1)</f>
        <v/>
      </c>
      <c r="B746" s="17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9" t="n"/>
      <c r="L746" s="19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7" t="n"/>
      <c r="V746" s="18" t="n"/>
      <c r="W746" s="20">
        <f>IF(U746="","",U746+Summary!$C$4)</f>
        <v/>
      </c>
      <c r="X746" s="16">
        <f>IF(OR(U746="",Y746="Removed",Y746="Deindexed only",Y746="No action needed"),"",TODAY()-U746)</f>
        <v/>
      </c>
      <c r="Y746" s="18" t="n"/>
      <c r="Z746" s="17" t="n"/>
      <c r="AA746" s="18" t="n"/>
      <c r="AB746" s="19" t="n"/>
    </row>
    <row r="747">
      <c r="A747" s="16">
        <f>IF(C747="","",ROW()-1)</f>
        <v/>
      </c>
      <c r="B747" s="17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9" t="n"/>
      <c r="L747" s="19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7" t="n"/>
      <c r="V747" s="18" t="n"/>
      <c r="W747" s="20">
        <f>IF(U747="","",U747+Summary!$C$4)</f>
        <v/>
      </c>
      <c r="X747" s="16">
        <f>IF(OR(U747="",Y747="Removed",Y747="Deindexed only",Y747="No action needed"),"",TODAY()-U747)</f>
        <v/>
      </c>
      <c r="Y747" s="18" t="n"/>
      <c r="Z747" s="17" t="n"/>
      <c r="AA747" s="18" t="n"/>
      <c r="AB747" s="19" t="n"/>
    </row>
    <row r="748">
      <c r="A748" s="16">
        <f>IF(C748="","",ROW()-1)</f>
        <v/>
      </c>
      <c r="B748" s="17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9" t="n"/>
      <c r="L748" s="19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7" t="n"/>
      <c r="V748" s="18" t="n"/>
      <c r="W748" s="20">
        <f>IF(U748="","",U748+Summary!$C$4)</f>
        <v/>
      </c>
      <c r="X748" s="16">
        <f>IF(OR(U748="",Y748="Removed",Y748="Deindexed only",Y748="No action needed"),"",TODAY()-U748)</f>
        <v/>
      </c>
      <c r="Y748" s="18" t="n"/>
      <c r="Z748" s="17" t="n"/>
      <c r="AA748" s="18" t="n"/>
      <c r="AB748" s="19" t="n"/>
    </row>
    <row r="749">
      <c r="A749" s="16">
        <f>IF(C749="","",ROW()-1)</f>
        <v/>
      </c>
      <c r="B749" s="17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9" t="n"/>
      <c r="L749" s="19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7" t="n"/>
      <c r="V749" s="18" t="n"/>
      <c r="W749" s="20">
        <f>IF(U749="","",U749+Summary!$C$4)</f>
        <v/>
      </c>
      <c r="X749" s="16">
        <f>IF(OR(U749="",Y749="Removed",Y749="Deindexed only",Y749="No action needed"),"",TODAY()-U749)</f>
        <v/>
      </c>
      <c r="Y749" s="18" t="n"/>
      <c r="Z749" s="17" t="n"/>
      <c r="AA749" s="18" t="n"/>
      <c r="AB749" s="19" t="n"/>
    </row>
    <row r="750">
      <c r="A750" s="16">
        <f>IF(C750="","",ROW()-1)</f>
        <v/>
      </c>
      <c r="B750" s="17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9" t="n"/>
      <c r="L750" s="19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7" t="n"/>
      <c r="V750" s="18" t="n"/>
      <c r="W750" s="20">
        <f>IF(U750="","",U750+Summary!$C$4)</f>
        <v/>
      </c>
      <c r="X750" s="16">
        <f>IF(OR(U750="",Y750="Removed",Y750="Deindexed only",Y750="No action needed"),"",TODAY()-U750)</f>
        <v/>
      </c>
      <c r="Y750" s="18" t="n"/>
      <c r="Z750" s="17" t="n"/>
      <c r="AA750" s="18" t="n"/>
      <c r="AB750" s="19" t="n"/>
    </row>
    <row r="751">
      <c r="A751" s="16">
        <f>IF(C751="","",ROW()-1)</f>
        <v/>
      </c>
      <c r="B751" s="17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9" t="n"/>
      <c r="L751" s="19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7" t="n"/>
      <c r="V751" s="18" t="n"/>
      <c r="W751" s="20">
        <f>IF(U751="","",U751+Summary!$C$4)</f>
        <v/>
      </c>
      <c r="X751" s="16">
        <f>IF(OR(U751="",Y751="Removed",Y751="Deindexed only",Y751="No action needed"),"",TODAY()-U751)</f>
        <v/>
      </c>
      <c r="Y751" s="18" t="n"/>
      <c r="Z751" s="17" t="n"/>
      <c r="AA751" s="18" t="n"/>
      <c r="AB751" s="19" t="n"/>
    </row>
    <row r="752">
      <c r="A752" s="16">
        <f>IF(C752="","",ROW()-1)</f>
        <v/>
      </c>
      <c r="B752" s="17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9" t="n"/>
      <c r="L752" s="19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7" t="n"/>
      <c r="V752" s="18" t="n"/>
      <c r="W752" s="20">
        <f>IF(U752="","",U752+Summary!$C$4)</f>
        <v/>
      </c>
      <c r="X752" s="16">
        <f>IF(OR(U752="",Y752="Removed",Y752="Deindexed only",Y752="No action needed"),"",TODAY()-U752)</f>
        <v/>
      </c>
      <c r="Y752" s="18" t="n"/>
      <c r="Z752" s="17" t="n"/>
      <c r="AA752" s="18" t="n"/>
      <c r="AB752" s="19" t="n"/>
    </row>
    <row r="753">
      <c r="A753" s="16">
        <f>IF(C753="","",ROW()-1)</f>
        <v/>
      </c>
      <c r="B753" s="17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9" t="n"/>
      <c r="L753" s="19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7" t="n"/>
      <c r="V753" s="18" t="n"/>
      <c r="W753" s="20">
        <f>IF(U753="","",U753+Summary!$C$4)</f>
        <v/>
      </c>
      <c r="X753" s="16">
        <f>IF(OR(U753="",Y753="Removed",Y753="Deindexed only",Y753="No action needed"),"",TODAY()-U753)</f>
        <v/>
      </c>
      <c r="Y753" s="18" t="n"/>
      <c r="Z753" s="17" t="n"/>
      <c r="AA753" s="18" t="n"/>
      <c r="AB753" s="19" t="n"/>
    </row>
    <row r="754">
      <c r="A754" s="16">
        <f>IF(C754="","",ROW()-1)</f>
        <v/>
      </c>
      <c r="B754" s="17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9" t="n"/>
      <c r="L754" s="19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7" t="n"/>
      <c r="V754" s="18" t="n"/>
      <c r="W754" s="20">
        <f>IF(U754="","",U754+Summary!$C$4)</f>
        <v/>
      </c>
      <c r="X754" s="16">
        <f>IF(OR(U754="",Y754="Removed",Y754="Deindexed only",Y754="No action needed"),"",TODAY()-U754)</f>
        <v/>
      </c>
      <c r="Y754" s="18" t="n"/>
      <c r="Z754" s="17" t="n"/>
      <c r="AA754" s="18" t="n"/>
      <c r="AB754" s="19" t="n"/>
    </row>
    <row r="755">
      <c r="A755" s="16">
        <f>IF(C755="","",ROW()-1)</f>
        <v/>
      </c>
      <c r="B755" s="17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9" t="n"/>
      <c r="L755" s="19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7" t="n"/>
      <c r="V755" s="18" t="n"/>
      <c r="W755" s="20">
        <f>IF(U755="","",U755+Summary!$C$4)</f>
        <v/>
      </c>
      <c r="X755" s="16">
        <f>IF(OR(U755="",Y755="Removed",Y755="Deindexed only",Y755="No action needed"),"",TODAY()-U755)</f>
        <v/>
      </c>
      <c r="Y755" s="18" t="n"/>
      <c r="Z755" s="17" t="n"/>
      <c r="AA755" s="18" t="n"/>
      <c r="AB755" s="19" t="n"/>
    </row>
    <row r="756">
      <c r="A756" s="16">
        <f>IF(C756="","",ROW()-1)</f>
        <v/>
      </c>
      <c r="B756" s="17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9" t="n"/>
      <c r="L756" s="19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7" t="n"/>
      <c r="V756" s="18" t="n"/>
      <c r="W756" s="20">
        <f>IF(U756="","",U756+Summary!$C$4)</f>
        <v/>
      </c>
      <c r="X756" s="16">
        <f>IF(OR(U756="",Y756="Removed",Y756="Deindexed only",Y756="No action needed"),"",TODAY()-U756)</f>
        <v/>
      </c>
      <c r="Y756" s="18" t="n"/>
      <c r="Z756" s="17" t="n"/>
      <c r="AA756" s="18" t="n"/>
      <c r="AB756" s="19" t="n"/>
    </row>
    <row r="757">
      <c r="A757" s="16">
        <f>IF(C757="","",ROW()-1)</f>
        <v/>
      </c>
      <c r="B757" s="17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9" t="n"/>
      <c r="L757" s="19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7" t="n"/>
      <c r="V757" s="18" t="n"/>
      <c r="W757" s="20">
        <f>IF(U757="","",U757+Summary!$C$4)</f>
        <v/>
      </c>
      <c r="X757" s="16">
        <f>IF(OR(U757="",Y757="Removed",Y757="Deindexed only",Y757="No action needed"),"",TODAY()-U757)</f>
        <v/>
      </c>
      <c r="Y757" s="18" t="n"/>
      <c r="Z757" s="17" t="n"/>
      <c r="AA757" s="18" t="n"/>
      <c r="AB757" s="19" t="n"/>
    </row>
    <row r="758">
      <c r="A758" s="16">
        <f>IF(C758="","",ROW()-1)</f>
        <v/>
      </c>
      <c r="B758" s="17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9" t="n"/>
      <c r="L758" s="19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7" t="n"/>
      <c r="V758" s="18" t="n"/>
      <c r="W758" s="20">
        <f>IF(U758="","",U758+Summary!$C$4)</f>
        <v/>
      </c>
      <c r="X758" s="16">
        <f>IF(OR(U758="",Y758="Removed",Y758="Deindexed only",Y758="No action needed"),"",TODAY()-U758)</f>
        <v/>
      </c>
      <c r="Y758" s="18" t="n"/>
      <c r="Z758" s="17" t="n"/>
      <c r="AA758" s="18" t="n"/>
      <c r="AB758" s="19" t="n"/>
    </row>
    <row r="759">
      <c r="A759" s="16">
        <f>IF(C759="","",ROW()-1)</f>
        <v/>
      </c>
      <c r="B759" s="17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9" t="n"/>
      <c r="L759" s="19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7" t="n"/>
      <c r="V759" s="18" t="n"/>
      <c r="W759" s="20">
        <f>IF(U759="","",U759+Summary!$C$4)</f>
        <v/>
      </c>
      <c r="X759" s="16">
        <f>IF(OR(U759="",Y759="Removed",Y759="Deindexed only",Y759="No action needed"),"",TODAY()-U759)</f>
        <v/>
      </c>
      <c r="Y759" s="18" t="n"/>
      <c r="Z759" s="17" t="n"/>
      <c r="AA759" s="18" t="n"/>
      <c r="AB759" s="19" t="n"/>
    </row>
    <row r="760">
      <c r="A760" s="16">
        <f>IF(C760="","",ROW()-1)</f>
        <v/>
      </c>
      <c r="B760" s="17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9" t="n"/>
      <c r="L760" s="19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7" t="n"/>
      <c r="V760" s="18" t="n"/>
      <c r="W760" s="20">
        <f>IF(U760="","",U760+Summary!$C$4)</f>
        <v/>
      </c>
      <c r="X760" s="16">
        <f>IF(OR(U760="",Y760="Removed",Y760="Deindexed only",Y760="No action needed"),"",TODAY()-U760)</f>
        <v/>
      </c>
      <c r="Y760" s="18" t="n"/>
      <c r="Z760" s="17" t="n"/>
      <c r="AA760" s="18" t="n"/>
      <c r="AB760" s="19" t="n"/>
    </row>
    <row r="761">
      <c r="A761" s="16">
        <f>IF(C761="","",ROW()-1)</f>
        <v/>
      </c>
      <c r="B761" s="17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9" t="n"/>
      <c r="L761" s="19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7" t="n"/>
      <c r="V761" s="18" t="n"/>
      <c r="W761" s="20">
        <f>IF(U761="","",U761+Summary!$C$4)</f>
        <v/>
      </c>
      <c r="X761" s="16">
        <f>IF(OR(U761="",Y761="Removed",Y761="Deindexed only",Y761="No action needed"),"",TODAY()-U761)</f>
        <v/>
      </c>
      <c r="Y761" s="18" t="n"/>
      <c r="Z761" s="17" t="n"/>
      <c r="AA761" s="18" t="n"/>
      <c r="AB761" s="19" t="n"/>
    </row>
    <row r="762">
      <c r="A762" s="16">
        <f>IF(C762="","",ROW()-1)</f>
        <v/>
      </c>
      <c r="B762" s="17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9" t="n"/>
      <c r="L762" s="19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7" t="n"/>
      <c r="V762" s="18" t="n"/>
      <c r="W762" s="20">
        <f>IF(U762="","",U762+Summary!$C$4)</f>
        <v/>
      </c>
      <c r="X762" s="16">
        <f>IF(OR(U762="",Y762="Removed",Y762="Deindexed only",Y762="No action needed"),"",TODAY()-U762)</f>
        <v/>
      </c>
      <c r="Y762" s="18" t="n"/>
      <c r="Z762" s="17" t="n"/>
      <c r="AA762" s="18" t="n"/>
      <c r="AB762" s="19" t="n"/>
    </row>
    <row r="763">
      <c r="A763" s="16">
        <f>IF(C763="","",ROW()-1)</f>
        <v/>
      </c>
      <c r="B763" s="17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9" t="n"/>
      <c r="L763" s="19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7" t="n"/>
      <c r="V763" s="18" t="n"/>
      <c r="W763" s="20">
        <f>IF(U763="","",U763+Summary!$C$4)</f>
        <v/>
      </c>
      <c r="X763" s="16">
        <f>IF(OR(U763="",Y763="Removed",Y763="Deindexed only",Y763="No action needed"),"",TODAY()-U763)</f>
        <v/>
      </c>
      <c r="Y763" s="18" t="n"/>
      <c r="Z763" s="17" t="n"/>
      <c r="AA763" s="18" t="n"/>
      <c r="AB763" s="19" t="n"/>
    </row>
    <row r="764">
      <c r="A764" s="16">
        <f>IF(C764="","",ROW()-1)</f>
        <v/>
      </c>
      <c r="B764" s="17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9" t="n"/>
      <c r="L764" s="19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7" t="n"/>
      <c r="V764" s="18" t="n"/>
      <c r="W764" s="20">
        <f>IF(U764="","",U764+Summary!$C$4)</f>
        <v/>
      </c>
      <c r="X764" s="16">
        <f>IF(OR(U764="",Y764="Removed",Y764="Deindexed only",Y764="No action needed"),"",TODAY()-U764)</f>
        <v/>
      </c>
      <c r="Y764" s="18" t="n"/>
      <c r="Z764" s="17" t="n"/>
      <c r="AA764" s="18" t="n"/>
      <c r="AB764" s="19" t="n"/>
    </row>
    <row r="765">
      <c r="A765" s="16">
        <f>IF(C765="","",ROW()-1)</f>
        <v/>
      </c>
      <c r="B765" s="17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9" t="n"/>
      <c r="L765" s="19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7" t="n"/>
      <c r="V765" s="18" t="n"/>
      <c r="W765" s="20">
        <f>IF(U765="","",U765+Summary!$C$4)</f>
        <v/>
      </c>
      <c r="X765" s="16">
        <f>IF(OR(U765="",Y765="Removed",Y765="Deindexed only",Y765="No action needed"),"",TODAY()-U765)</f>
        <v/>
      </c>
      <c r="Y765" s="18" t="n"/>
      <c r="Z765" s="17" t="n"/>
      <c r="AA765" s="18" t="n"/>
      <c r="AB765" s="19" t="n"/>
    </row>
    <row r="766">
      <c r="A766" s="16">
        <f>IF(C766="","",ROW()-1)</f>
        <v/>
      </c>
      <c r="B766" s="17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9" t="n"/>
      <c r="L766" s="19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7" t="n"/>
      <c r="V766" s="18" t="n"/>
      <c r="W766" s="20">
        <f>IF(U766="","",U766+Summary!$C$4)</f>
        <v/>
      </c>
      <c r="X766" s="16">
        <f>IF(OR(U766="",Y766="Removed",Y766="Deindexed only",Y766="No action needed"),"",TODAY()-U766)</f>
        <v/>
      </c>
      <c r="Y766" s="18" t="n"/>
      <c r="Z766" s="17" t="n"/>
      <c r="AA766" s="18" t="n"/>
      <c r="AB766" s="19" t="n"/>
    </row>
    <row r="767">
      <c r="A767" s="16">
        <f>IF(C767="","",ROW()-1)</f>
        <v/>
      </c>
      <c r="B767" s="17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9" t="n"/>
      <c r="L767" s="19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7" t="n"/>
      <c r="V767" s="18" t="n"/>
      <c r="W767" s="20">
        <f>IF(U767="","",U767+Summary!$C$4)</f>
        <v/>
      </c>
      <c r="X767" s="16">
        <f>IF(OR(U767="",Y767="Removed",Y767="Deindexed only",Y767="No action needed"),"",TODAY()-U767)</f>
        <v/>
      </c>
      <c r="Y767" s="18" t="n"/>
      <c r="Z767" s="17" t="n"/>
      <c r="AA767" s="18" t="n"/>
      <c r="AB767" s="19" t="n"/>
    </row>
    <row r="768">
      <c r="A768" s="16">
        <f>IF(C768="","",ROW()-1)</f>
        <v/>
      </c>
      <c r="B768" s="17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9" t="n"/>
      <c r="L768" s="19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7" t="n"/>
      <c r="V768" s="18" t="n"/>
      <c r="W768" s="20">
        <f>IF(U768="","",U768+Summary!$C$4)</f>
        <v/>
      </c>
      <c r="X768" s="16">
        <f>IF(OR(U768="",Y768="Removed",Y768="Deindexed only",Y768="No action needed"),"",TODAY()-U768)</f>
        <v/>
      </c>
      <c r="Y768" s="18" t="n"/>
      <c r="Z768" s="17" t="n"/>
      <c r="AA768" s="18" t="n"/>
      <c r="AB768" s="19" t="n"/>
    </row>
    <row r="769">
      <c r="A769" s="16">
        <f>IF(C769="","",ROW()-1)</f>
        <v/>
      </c>
      <c r="B769" s="17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9" t="n"/>
      <c r="L769" s="19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7" t="n"/>
      <c r="V769" s="18" t="n"/>
      <c r="W769" s="20">
        <f>IF(U769="","",U769+Summary!$C$4)</f>
        <v/>
      </c>
      <c r="X769" s="16">
        <f>IF(OR(U769="",Y769="Removed",Y769="Deindexed only",Y769="No action needed"),"",TODAY()-U769)</f>
        <v/>
      </c>
      <c r="Y769" s="18" t="n"/>
      <c r="Z769" s="17" t="n"/>
      <c r="AA769" s="18" t="n"/>
      <c r="AB769" s="19" t="n"/>
    </row>
    <row r="770">
      <c r="A770" s="16">
        <f>IF(C770="","",ROW()-1)</f>
        <v/>
      </c>
      <c r="B770" s="17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9" t="n"/>
      <c r="L770" s="19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7" t="n"/>
      <c r="V770" s="18" t="n"/>
      <c r="W770" s="20">
        <f>IF(U770="","",U770+Summary!$C$4)</f>
        <v/>
      </c>
      <c r="X770" s="16">
        <f>IF(OR(U770="",Y770="Removed",Y770="Deindexed only",Y770="No action needed"),"",TODAY()-U770)</f>
        <v/>
      </c>
      <c r="Y770" s="18" t="n"/>
      <c r="Z770" s="17" t="n"/>
      <c r="AA770" s="18" t="n"/>
      <c r="AB770" s="19" t="n"/>
    </row>
    <row r="771">
      <c r="A771" s="16">
        <f>IF(C771="","",ROW()-1)</f>
        <v/>
      </c>
      <c r="B771" s="17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9" t="n"/>
      <c r="L771" s="19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7" t="n"/>
      <c r="V771" s="18" t="n"/>
      <c r="W771" s="20">
        <f>IF(U771="","",U771+Summary!$C$4)</f>
        <v/>
      </c>
      <c r="X771" s="16">
        <f>IF(OR(U771="",Y771="Removed",Y771="Deindexed only",Y771="No action needed"),"",TODAY()-U771)</f>
        <v/>
      </c>
      <c r="Y771" s="18" t="n"/>
      <c r="Z771" s="17" t="n"/>
      <c r="AA771" s="18" t="n"/>
      <c r="AB771" s="19" t="n"/>
    </row>
    <row r="772">
      <c r="A772" s="16">
        <f>IF(C772="","",ROW()-1)</f>
        <v/>
      </c>
      <c r="B772" s="17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9" t="n"/>
      <c r="L772" s="19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7" t="n"/>
      <c r="V772" s="18" t="n"/>
      <c r="W772" s="20">
        <f>IF(U772="","",U772+Summary!$C$4)</f>
        <v/>
      </c>
      <c r="X772" s="16">
        <f>IF(OR(U772="",Y772="Removed",Y772="Deindexed only",Y772="No action needed"),"",TODAY()-U772)</f>
        <v/>
      </c>
      <c r="Y772" s="18" t="n"/>
      <c r="Z772" s="17" t="n"/>
      <c r="AA772" s="18" t="n"/>
      <c r="AB772" s="19" t="n"/>
    </row>
    <row r="773">
      <c r="A773" s="16">
        <f>IF(C773="","",ROW()-1)</f>
        <v/>
      </c>
      <c r="B773" s="17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9" t="n"/>
      <c r="L773" s="19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7" t="n"/>
      <c r="V773" s="18" t="n"/>
      <c r="W773" s="20">
        <f>IF(U773="","",U773+Summary!$C$4)</f>
        <v/>
      </c>
      <c r="X773" s="16">
        <f>IF(OR(U773="",Y773="Removed",Y773="Deindexed only",Y773="No action needed"),"",TODAY()-U773)</f>
        <v/>
      </c>
      <c r="Y773" s="18" t="n"/>
      <c r="Z773" s="17" t="n"/>
      <c r="AA773" s="18" t="n"/>
      <c r="AB773" s="19" t="n"/>
    </row>
    <row r="774">
      <c r="A774" s="16">
        <f>IF(C774="","",ROW()-1)</f>
        <v/>
      </c>
      <c r="B774" s="17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9" t="n"/>
      <c r="L774" s="19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7" t="n"/>
      <c r="V774" s="18" t="n"/>
      <c r="W774" s="20">
        <f>IF(U774="","",U774+Summary!$C$4)</f>
        <v/>
      </c>
      <c r="X774" s="16">
        <f>IF(OR(U774="",Y774="Removed",Y774="Deindexed only",Y774="No action needed"),"",TODAY()-U774)</f>
        <v/>
      </c>
      <c r="Y774" s="18" t="n"/>
      <c r="Z774" s="17" t="n"/>
      <c r="AA774" s="18" t="n"/>
      <c r="AB774" s="19" t="n"/>
    </row>
    <row r="775">
      <c r="A775" s="16">
        <f>IF(C775="","",ROW()-1)</f>
        <v/>
      </c>
      <c r="B775" s="17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9" t="n"/>
      <c r="L775" s="19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7" t="n"/>
      <c r="V775" s="18" t="n"/>
      <c r="W775" s="20">
        <f>IF(U775="","",U775+Summary!$C$4)</f>
        <v/>
      </c>
      <c r="X775" s="16">
        <f>IF(OR(U775="",Y775="Removed",Y775="Deindexed only",Y775="No action needed"),"",TODAY()-U775)</f>
        <v/>
      </c>
      <c r="Y775" s="18" t="n"/>
      <c r="Z775" s="17" t="n"/>
      <c r="AA775" s="18" t="n"/>
      <c r="AB775" s="19" t="n"/>
    </row>
    <row r="776">
      <c r="A776" s="16">
        <f>IF(C776="","",ROW()-1)</f>
        <v/>
      </c>
      <c r="B776" s="17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9" t="n"/>
      <c r="L776" s="19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7" t="n"/>
      <c r="V776" s="18" t="n"/>
      <c r="W776" s="20">
        <f>IF(U776="","",U776+Summary!$C$4)</f>
        <v/>
      </c>
      <c r="X776" s="16">
        <f>IF(OR(U776="",Y776="Removed",Y776="Deindexed only",Y776="No action needed"),"",TODAY()-U776)</f>
        <v/>
      </c>
      <c r="Y776" s="18" t="n"/>
      <c r="Z776" s="17" t="n"/>
      <c r="AA776" s="18" t="n"/>
      <c r="AB776" s="19" t="n"/>
    </row>
    <row r="777">
      <c r="A777" s="16">
        <f>IF(C777="","",ROW()-1)</f>
        <v/>
      </c>
      <c r="B777" s="17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9" t="n"/>
      <c r="L777" s="19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7" t="n"/>
      <c r="V777" s="18" t="n"/>
      <c r="W777" s="20">
        <f>IF(U777="","",U777+Summary!$C$4)</f>
        <v/>
      </c>
      <c r="X777" s="16">
        <f>IF(OR(U777="",Y777="Removed",Y777="Deindexed only",Y777="No action needed"),"",TODAY()-U777)</f>
        <v/>
      </c>
      <c r="Y777" s="18" t="n"/>
      <c r="Z777" s="17" t="n"/>
      <c r="AA777" s="18" t="n"/>
      <c r="AB777" s="19" t="n"/>
    </row>
    <row r="778">
      <c r="A778" s="16">
        <f>IF(C778="","",ROW()-1)</f>
        <v/>
      </c>
      <c r="B778" s="17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9" t="n"/>
      <c r="L778" s="19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7" t="n"/>
      <c r="V778" s="18" t="n"/>
      <c r="W778" s="20">
        <f>IF(U778="","",U778+Summary!$C$4)</f>
        <v/>
      </c>
      <c r="X778" s="16">
        <f>IF(OR(U778="",Y778="Removed",Y778="Deindexed only",Y778="No action needed"),"",TODAY()-U778)</f>
        <v/>
      </c>
      <c r="Y778" s="18" t="n"/>
      <c r="Z778" s="17" t="n"/>
      <c r="AA778" s="18" t="n"/>
      <c r="AB778" s="19" t="n"/>
    </row>
    <row r="779">
      <c r="A779" s="16">
        <f>IF(C779="","",ROW()-1)</f>
        <v/>
      </c>
      <c r="B779" s="17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9" t="n"/>
      <c r="L779" s="19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7" t="n"/>
      <c r="V779" s="18" t="n"/>
      <c r="W779" s="20">
        <f>IF(U779="","",U779+Summary!$C$4)</f>
        <v/>
      </c>
      <c r="X779" s="16">
        <f>IF(OR(U779="",Y779="Removed",Y779="Deindexed only",Y779="No action needed"),"",TODAY()-U779)</f>
        <v/>
      </c>
      <c r="Y779" s="18" t="n"/>
      <c r="Z779" s="17" t="n"/>
      <c r="AA779" s="18" t="n"/>
      <c r="AB779" s="19" t="n"/>
    </row>
    <row r="780">
      <c r="A780" s="16">
        <f>IF(C780="","",ROW()-1)</f>
        <v/>
      </c>
      <c r="B780" s="17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9" t="n"/>
      <c r="L780" s="19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7" t="n"/>
      <c r="V780" s="18" t="n"/>
      <c r="W780" s="20">
        <f>IF(U780="","",U780+Summary!$C$4)</f>
        <v/>
      </c>
      <c r="X780" s="16">
        <f>IF(OR(U780="",Y780="Removed",Y780="Deindexed only",Y780="No action needed"),"",TODAY()-U780)</f>
        <v/>
      </c>
      <c r="Y780" s="18" t="n"/>
      <c r="Z780" s="17" t="n"/>
      <c r="AA780" s="18" t="n"/>
      <c r="AB780" s="19" t="n"/>
    </row>
    <row r="781">
      <c r="A781" s="16">
        <f>IF(C781="","",ROW()-1)</f>
        <v/>
      </c>
      <c r="B781" s="17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9" t="n"/>
      <c r="L781" s="19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7" t="n"/>
      <c r="V781" s="18" t="n"/>
      <c r="W781" s="20">
        <f>IF(U781="","",U781+Summary!$C$4)</f>
        <v/>
      </c>
      <c r="X781" s="16">
        <f>IF(OR(U781="",Y781="Removed",Y781="Deindexed only",Y781="No action needed"),"",TODAY()-U781)</f>
        <v/>
      </c>
      <c r="Y781" s="18" t="n"/>
      <c r="Z781" s="17" t="n"/>
      <c r="AA781" s="18" t="n"/>
      <c r="AB781" s="19" t="n"/>
    </row>
    <row r="782">
      <c r="A782" s="16">
        <f>IF(C782="","",ROW()-1)</f>
        <v/>
      </c>
      <c r="B782" s="17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9" t="n"/>
      <c r="L782" s="19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7" t="n"/>
      <c r="V782" s="18" t="n"/>
      <c r="W782" s="20">
        <f>IF(U782="","",U782+Summary!$C$4)</f>
        <v/>
      </c>
      <c r="X782" s="16">
        <f>IF(OR(U782="",Y782="Removed",Y782="Deindexed only",Y782="No action needed"),"",TODAY()-U782)</f>
        <v/>
      </c>
      <c r="Y782" s="18" t="n"/>
      <c r="Z782" s="17" t="n"/>
      <c r="AA782" s="18" t="n"/>
      <c r="AB782" s="19" t="n"/>
    </row>
    <row r="783">
      <c r="A783" s="16">
        <f>IF(C783="","",ROW()-1)</f>
        <v/>
      </c>
      <c r="B783" s="17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9" t="n"/>
      <c r="L783" s="19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7" t="n"/>
      <c r="V783" s="18" t="n"/>
      <c r="W783" s="20">
        <f>IF(U783="","",U783+Summary!$C$4)</f>
        <v/>
      </c>
      <c r="X783" s="16">
        <f>IF(OR(U783="",Y783="Removed",Y783="Deindexed only",Y783="No action needed"),"",TODAY()-U783)</f>
        <v/>
      </c>
      <c r="Y783" s="18" t="n"/>
      <c r="Z783" s="17" t="n"/>
      <c r="AA783" s="18" t="n"/>
      <c r="AB783" s="19" t="n"/>
    </row>
    <row r="784">
      <c r="A784" s="16">
        <f>IF(C784="","",ROW()-1)</f>
        <v/>
      </c>
      <c r="B784" s="17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9" t="n"/>
      <c r="L784" s="19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7" t="n"/>
      <c r="V784" s="18" t="n"/>
      <c r="W784" s="20">
        <f>IF(U784="","",U784+Summary!$C$4)</f>
        <v/>
      </c>
      <c r="X784" s="16">
        <f>IF(OR(U784="",Y784="Removed",Y784="Deindexed only",Y784="No action needed"),"",TODAY()-U784)</f>
        <v/>
      </c>
      <c r="Y784" s="18" t="n"/>
      <c r="Z784" s="17" t="n"/>
      <c r="AA784" s="18" t="n"/>
      <c r="AB784" s="19" t="n"/>
    </row>
    <row r="785">
      <c r="A785" s="16">
        <f>IF(C785="","",ROW()-1)</f>
        <v/>
      </c>
      <c r="B785" s="17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9" t="n"/>
      <c r="L785" s="19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7" t="n"/>
      <c r="V785" s="18" t="n"/>
      <c r="W785" s="20">
        <f>IF(U785="","",U785+Summary!$C$4)</f>
        <v/>
      </c>
      <c r="X785" s="16">
        <f>IF(OR(U785="",Y785="Removed",Y785="Deindexed only",Y785="No action needed"),"",TODAY()-U785)</f>
        <v/>
      </c>
      <c r="Y785" s="18" t="n"/>
      <c r="Z785" s="17" t="n"/>
      <c r="AA785" s="18" t="n"/>
      <c r="AB785" s="19" t="n"/>
    </row>
    <row r="786">
      <c r="A786" s="16">
        <f>IF(C786="","",ROW()-1)</f>
        <v/>
      </c>
      <c r="B786" s="17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9" t="n"/>
      <c r="L786" s="19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7" t="n"/>
      <c r="V786" s="18" t="n"/>
      <c r="W786" s="20">
        <f>IF(U786="","",U786+Summary!$C$4)</f>
        <v/>
      </c>
      <c r="X786" s="16">
        <f>IF(OR(U786="",Y786="Removed",Y786="Deindexed only",Y786="No action needed"),"",TODAY()-U786)</f>
        <v/>
      </c>
      <c r="Y786" s="18" t="n"/>
      <c r="Z786" s="17" t="n"/>
      <c r="AA786" s="18" t="n"/>
      <c r="AB786" s="19" t="n"/>
    </row>
    <row r="787">
      <c r="A787" s="16">
        <f>IF(C787="","",ROW()-1)</f>
        <v/>
      </c>
      <c r="B787" s="17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9" t="n"/>
      <c r="L787" s="19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7" t="n"/>
      <c r="V787" s="18" t="n"/>
      <c r="W787" s="20">
        <f>IF(U787="","",U787+Summary!$C$4)</f>
        <v/>
      </c>
      <c r="X787" s="16">
        <f>IF(OR(U787="",Y787="Removed",Y787="Deindexed only",Y787="No action needed"),"",TODAY()-U787)</f>
        <v/>
      </c>
      <c r="Y787" s="18" t="n"/>
      <c r="Z787" s="17" t="n"/>
      <c r="AA787" s="18" t="n"/>
      <c r="AB787" s="19" t="n"/>
    </row>
    <row r="788">
      <c r="A788" s="16">
        <f>IF(C788="","",ROW()-1)</f>
        <v/>
      </c>
      <c r="B788" s="17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9" t="n"/>
      <c r="L788" s="19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7" t="n"/>
      <c r="V788" s="18" t="n"/>
      <c r="W788" s="20">
        <f>IF(U788="","",U788+Summary!$C$4)</f>
        <v/>
      </c>
      <c r="X788" s="16">
        <f>IF(OR(U788="",Y788="Removed",Y788="Deindexed only",Y788="No action needed"),"",TODAY()-U788)</f>
        <v/>
      </c>
      <c r="Y788" s="18" t="n"/>
      <c r="Z788" s="17" t="n"/>
      <c r="AA788" s="18" t="n"/>
      <c r="AB788" s="19" t="n"/>
    </row>
    <row r="789">
      <c r="A789" s="16">
        <f>IF(C789="","",ROW()-1)</f>
        <v/>
      </c>
      <c r="B789" s="17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9" t="n"/>
      <c r="L789" s="19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7" t="n"/>
      <c r="V789" s="18" t="n"/>
      <c r="W789" s="20">
        <f>IF(U789="","",U789+Summary!$C$4)</f>
        <v/>
      </c>
      <c r="X789" s="16">
        <f>IF(OR(U789="",Y789="Removed",Y789="Deindexed only",Y789="No action needed"),"",TODAY()-U789)</f>
        <v/>
      </c>
      <c r="Y789" s="18" t="n"/>
      <c r="Z789" s="17" t="n"/>
      <c r="AA789" s="18" t="n"/>
      <c r="AB789" s="19" t="n"/>
    </row>
    <row r="790">
      <c r="A790" s="16">
        <f>IF(C790="","",ROW()-1)</f>
        <v/>
      </c>
      <c r="B790" s="17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9" t="n"/>
      <c r="L790" s="19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7" t="n"/>
      <c r="V790" s="18" t="n"/>
      <c r="W790" s="20">
        <f>IF(U790="","",U790+Summary!$C$4)</f>
        <v/>
      </c>
      <c r="X790" s="16">
        <f>IF(OR(U790="",Y790="Removed",Y790="Deindexed only",Y790="No action needed"),"",TODAY()-U790)</f>
        <v/>
      </c>
      <c r="Y790" s="18" t="n"/>
      <c r="Z790" s="17" t="n"/>
      <c r="AA790" s="18" t="n"/>
      <c r="AB790" s="19" t="n"/>
    </row>
    <row r="791">
      <c r="A791" s="16">
        <f>IF(C791="","",ROW()-1)</f>
        <v/>
      </c>
      <c r="B791" s="17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9" t="n"/>
      <c r="L791" s="19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7" t="n"/>
      <c r="V791" s="18" t="n"/>
      <c r="W791" s="20">
        <f>IF(U791="","",U791+Summary!$C$4)</f>
        <v/>
      </c>
      <c r="X791" s="16">
        <f>IF(OR(U791="",Y791="Removed",Y791="Deindexed only",Y791="No action needed"),"",TODAY()-U791)</f>
        <v/>
      </c>
      <c r="Y791" s="18" t="n"/>
      <c r="Z791" s="17" t="n"/>
      <c r="AA791" s="18" t="n"/>
      <c r="AB791" s="19" t="n"/>
    </row>
    <row r="792">
      <c r="A792" s="16">
        <f>IF(C792="","",ROW()-1)</f>
        <v/>
      </c>
      <c r="B792" s="17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9" t="n"/>
      <c r="L792" s="19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7" t="n"/>
      <c r="V792" s="18" t="n"/>
      <c r="W792" s="20">
        <f>IF(U792="","",U792+Summary!$C$4)</f>
        <v/>
      </c>
      <c r="X792" s="16">
        <f>IF(OR(U792="",Y792="Removed",Y792="Deindexed only",Y792="No action needed"),"",TODAY()-U792)</f>
        <v/>
      </c>
      <c r="Y792" s="18" t="n"/>
      <c r="Z792" s="17" t="n"/>
      <c r="AA792" s="18" t="n"/>
      <c r="AB792" s="19" t="n"/>
    </row>
    <row r="793">
      <c r="A793" s="16">
        <f>IF(C793="","",ROW()-1)</f>
        <v/>
      </c>
      <c r="B793" s="17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9" t="n"/>
      <c r="L793" s="19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7" t="n"/>
      <c r="V793" s="18" t="n"/>
      <c r="W793" s="20">
        <f>IF(U793="","",U793+Summary!$C$4)</f>
        <v/>
      </c>
      <c r="X793" s="16">
        <f>IF(OR(U793="",Y793="Removed",Y793="Deindexed only",Y793="No action needed"),"",TODAY()-U793)</f>
        <v/>
      </c>
      <c r="Y793" s="18" t="n"/>
      <c r="Z793" s="17" t="n"/>
      <c r="AA793" s="18" t="n"/>
      <c r="AB793" s="19" t="n"/>
    </row>
    <row r="794">
      <c r="A794" s="16">
        <f>IF(C794="","",ROW()-1)</f>
        <v/>
      </c>
      <c r="B794" s="17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9" t="n"/>
      <c r="L794" s="19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7" t="n"/>
      <c r="V794" s="18" t="n"/>
      <c r="W794" s="20">
        <f>IF(U794="","",U794+Summary!$C$4)</f>
        <v/>
      </c>
      <c r="X794" s="16">
        <f>IF(OR(U794="",Y794="Removed",Y794="Deindexed only",Y794="No action needed"),"",TODAY()-U794)</f>
        <v/>
      </c>
      <c r="Y794" s="18" t="n"/>
      <c r="Z794" s="17" t="n"/>
      <c r="AA794" s="18" t="n"/>
      <c r="AB794" s="19" t="n"/>
    </row>
    <row r="795">
      <c r="A795" s="16">
        <f>IF(C795="","",ROW()-1)</f>
        <v/>
      </c>
      <c r="B795" s="17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9" t="n"/>
      <c r="L795" s="19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7" t="n"/>
      <c r="V795" s="18" t="n"/>
      <c r="W795" s="20">
        <f>IF(U795="","",U795+Summary!$C$4)</f>
        <v/>
      </c>
      <c r="X795" s="16">
        <f>IF(OR(U795="",Y795="Removed",Y795="Deindexed only",Y795="No action needed"),"",TODAY()-U795)</f>
        <v/>
      </c>
      <c r="Y795" s="18" t="n"/>
      <c r="Z795" s="17" t="n"/>
      <c r="AA795" s="18" t="n"/>
      <c r="AB795" s="19" t="n"/>
    </row>
    <row r="796">
      <c r="A796" s="16">
        <f>IF(C796="","",ROW()-1)</f>
        <v/>
      </c>
      <c r="B796" s="17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9" t="n"/>
      <c r="L796" s="19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7" t="n"/>
      <c r="V796" s="18" t="n"/>
      <c r="W796" s="20">
        <f>IF(U796="","",U796+Summary!$C$4)</f>
        <v/>
      </c>
      <c r="X796" s="16">
        <f>IF(OR(U796="",Y796="Removed",Y796="Deindexed only",Y796="No action needed"),"",TODAY()-U796)</f>
        <v/>
      </c>
      <c r="Y796" s="18" t="n"/>
      <c r="Z796" s="17" t="n"/>
      <c r="AA796" s="18" t="n"/>
      <c r="AB796" s="19" t="n"/>
    </row>
    <row r="797">
      <c r="A797" s="16">
        <f>IF(C797="","",ROW()-1)</f>
        <v/>
      </c>
      <c r="B797" s="17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9" t="n"/>
      <c r="L797" s="19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7" t="n"/>
      <c r="V797" s="18" t="n"/>
      <c r="W797" s="20">
        <f>IF(U797="","",U797+Summary!$C$4)</f>
        <v/>
      </c>
      <c r="X797" s="16">
        <f>IF(OR(U797="",Y797="Removed",Y797="Deindexed only",Y797="No action needed"),"",TODAY()-U797)</f>
        <v/>
      </c>
      <c r="Y797" s="18" t="n"/>
      <c r="Z797" s="17" t="n"/>
      <c r="AA797" s="18" t="n"/>
      <c r="AB797" s="19" t="n"/>
    </row>
    <row r="798">
      <c r="A798" s="16">
        <f>IF(C798="","",ROW()-1)</f>
        <v/>
      </c>
      <c r="B798" s="17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9" t="n"/>
      <c r="L798" s="19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7" t="n"/>
      <c r="V798" s="18" t="n"/>
      <c r="W798" s="20">
        <f>IF(U798="","",U798+Summary!$C$4)</f>
        <v/>
      </c>
      <c r="X798" s="16">
        <f>IF(OR(U798="",Y798="Removed",Y798="Deindexed only",Y798="No action needed"),"",TODAY()-U798)</f>
        <v/>
      </c>
      <c r="Y798" s="18" t="n"/>
      <c r="Z798" s="17" t="n"/>
      <c r="AA798" s="18" t="n"/>
      <c r="AB798" s="19" t="n"/>
    </row>
    <row r="799">
      <c r="A799" s="16">
        <f>IF(C799="","",ROW()-1)</f>
        <v/>
      </c>
      <c r="B799" s="17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9" t="n"/>
      <c r="L799" s="19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7" t="n"/>
      <c r="V799" s="18" t="n"/>
      <c r="W799" s="20">
        <f>IF(U799="","",U799+Summary!$C$4)</f>
        <v/>
      </c>
      <c r="X799" s="16">
        <f>IF(OR(U799="",Y799="Removed",Y799="Deindexed only",Y799="No action needed"),"",TODAY()-U799)</f>
        <v/>
      </c>
      <c r="Y799" s="18" t="n"/>
      <c r="Z799" s="17" t="n"/>
      <c r="AA799" s="18" t="n"/>
      <c r="AB799" s="19" t="n"/>
    </row>
    <row r="800">
      <c r="A800" s="16">
        <f>IF(C800="","",ROW()-1)</f>
        <v/>
      </c>
      <c r="B800" s="17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9" t="n"/>
      <c r="L800" s="19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7" t="n"/>
      <c r="V800" s="18" t="n"/>
      <c r="W800" s="20">
        <f>IF(U800="","",U800+Summary!$C$4)</f>
        <v/>
      </c>
      <c r="X800" s="16">
        <f>IF(OR(U800="",Y800="Removed",Y800="Deindexed only",Y800="No action needed"),"",TODAY()-U800)</f>
        <v/>
      </c>
      <c r="Y800" s="18" t="n"/>
      <c r="Z800" s="17" t="n"/>
      <c r="AA800" s="18" t="n"/>
      <c r="AB800" s="19" t="n"/>
    </row>
    <row r="801">
      <c r="A801" s="16">
        <f>IF(C801="","",ROW()-1)</f>
        <v/>
      </c>
      <c r="B801" s="17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9" t="n"/>
      <c r="L801" s="19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7" t="n"/>
      <c r="V801" s="18" t="n"/>
      <c r="W801" s="20">
        <f>IF(U801="","",U801+Summary!$C$4)</f>
        <v/>
      </c>
      <c r="X801" s="16">
        <f>IF(OR(U801="",Y801="Removed",Y801="Deindexed only",Y801="No action needed"),"",TODAY()-U801)</f>
        <v/>
      </c>
      <c r="Y801" s="18" t="n"/>
      <c r="Z801" s="17" t="n"/>
      <c r="AA801" s="18" t="n"/>
      <c r="AB801" s="19" t="n"/>
    </row>
    <row r="802">
      <c r="A802" s="16">
        <f>IF(C802="","",ROW()-1)</f>
        <v/>
      </c>
      <c r="B802" s="17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9" t="n"/>
      <c r="L802" s="19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7" t="n"/>
      <c r="V802" s="18" t="n"/>
      <c r="W802" s="20">
        <f>IF(U802="","",U802+Summary!$C$4)</f>
        <v/>
      </c>
      <c r="X802" s="16">
        <f>IF(OR(U802="",Y802="Removed",Y802="Deindexed only",Y802="No action needed"),"",TODAY()-U802)</f>
        <v/>
      </c>
      <c r="Y802" s="18" t="n"/>
      <c r="Z802" s="17" t="n"/>
      <c r="AA802" s="18" t="n"/>
      <c r="AB802" s="19" t="n"/>
    </row>
    <row r="803">
      <c r="A803" s="16">
        <f>IF(C803="","",ROW()-1)</f>
        <v/>
      </c>
      <c r="B803" s="17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9" t="n"/>
      <c r="L803" s="19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7" t="n"/>
      <c r="V803" s="18" t="n"/>
      <c r="W803" s="20">
        <f>IF(U803="","",U803+Summary!$C$4)</f>
        <v/>
      </c>
      <c r="X803" s="16">
        <f>IF(OR(U803="",Y803="Removed",Y803="Deindexed only",Y803="No action needed"),"",TODAY()-U803)</f>
        <v/>
      </c>
      <c r="Y803" s="18" t="n"/>
      <c r="Z803" s="17" t="n"/>
      <c r="AA803" s="18" t="n"/>
      <c r="AB803" s="19" t="n"/>
    </row>
    <row r="804">
      <c r="A804" s="16">
        <f>IF(C804="","",ROW()-1)</f>
        <v/>
      </c>
      <c r="B804" s="17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9" t="n"/>
      <c r="L804" s="19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7" t="n"/>
      <c r="V804" s="18" t="n"/>
      <c r="W804" s="20">
        <f>IF(U804="","",U804+Summary!$C$4)</f>
        <v/>
      </c>
      <c r="X804" s="16">
        <f>IF(OR(U804="",Y804="Removed",Y804="Deindexed only",Y804="No action needed"),"",TODAY()-U804)</f>
        <v/>
      </c>
      <c r="Y804" s="18" t="n"/>
      <c r="Z804" s="17" t="n"/>
      <c r="AA804" s="18" t="n"/>
      <c r="AB804" s="19" t="n"/>
    </row>
    <row r="805">
      <c r="A805" s="16">
        <f>IF(C805="","",ROW()-1)</f>
        <v/>
      </c>
      <c r="B805" s="17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9" t="n"/>
      <c r="L805" s="19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7" t="n"/>
      <c r="V805" s="18" t="n"/>
      <c r="W805" s="20">
        <f>IF(U805="","",U805+Summary!$C$4)</f>
        <v/>
      </c>
      <c r="X805" s="16">
        <f>IF(OR(U805="",Y805="Removed",Y805="Deindexed only",Y805="No action needed"),"",TODAY()-U805)</f>
        <v/>
      </c>
      <c r="Y805" s="18" t="n"/>
      <c r="Z805" s="17" t="n"/>
      <c r="AA805" s="18" t="n"/>
      <c r="AB805" s="19" t="n"/>
    </row>
    <row r="806">
      <c r="A806" s="16">
        <f>IF(C806="","",ROW()-1)</f>
        <v/>
      </c>
      <c r="B806" s="17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9" t="n"/>
      <c r="L806" s="19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7" t="n"/>
      <c r="V806" s="18" t="n"/>
      <c r="W806" s="20">
        <f>IF(U806="","",U806+Summary!$C$4)</f>
        <v/>
      </c>
      <c r="X806" s="16">
        <f>IF(OR(U806="",Y806="Removed",Y806="Deindexed only",Y806="No action needed"),"",TODAY()-U806)</f>
        <v/>
      </c>
      <c r="Y806" s="18" t="n"/>
      <c r="Z806" s="17" t="n"/>
      <c r="AA806" s="18" t="n"/>
      <c r="AB806" s="19" t="n"/>
    </row>
    <row r="807">
      <c r="A807" s="16">
        <f>IF(C807="","",ROW()-1)</f>
        <v/>
      </c>
      <c r="B807" s="17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9" t="n"/>
      <c r="L807" s="19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7" t="n"/>
      <c r="V807" s="18" t="n"/>
      <c r="W807" s="20">
        <f>IF(U807="","",U807+Summary!$C$4)</f>
        <v/>
      </c>
      <c r="X807" s="16">
        <f>IF(OR(U807="",Y807="Removed",Y807="Deindexed only",Y807="No action needed"),"",TODAY()-U807)</f>
        <v/>
      </c>
      <c r="Y807" s="18" t="n"/>
      <c r="Z807" s="17" t="n"/>
      <c r="AA807" s="18" t="n"/>
      <c r="AB807" s="19" t="n"/>
    </row>
    <row r="808">
      <c r="A808" s="16">
        <f>IF(C808="","",ROW()-1)</f>
        <v/>
      </c>
      <c r="B808" s="17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9" t="n"/>
      <c r="L808" s="19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7" t="n"/>
      <c r="V808" s="18" t="n"/>
      <c r="W808" s="20">
        <f>IF(U808="","",U808+Summary!$C$4)</f>
        <v/>
      </c>
      <c r="X808" s="16">
        <f>IF(OR(U808="",Y808="Removed",Y808="Deindexed only",Y808="No action needed"),"",TODAY()-U808)</f>
        <v/>
      </c>
      <c r="Y808" s="18" t="n"/>
      <c r="Z808" s="17" t="n"/>
      <c r="AA808" s="18" t="n"/>
      <c r="AB808" s="19" t="n"/>
    </row>
    <row r="809">
      <c r="A809" s="16">
        <f>IF(C809="","",ROW()-1)</f>
        <v/>
      </c>
      <c r="B809" s="17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9" t="n"/>
      <c r="L809" s="19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7" t="n"/>
      <c r="V809" s="18" t="n"/>
      <c r="W809" s="20">
        <f>IF(U809="","",U809+Summary!$C$4)</f>
        <v/>
      </c>
      <c r="X809" s="16">
        <f>IF(OR(U809="",Y809="Removed",Y809="Deindexed only",Y809="No action needed"),"",TODAY()-U809)</f>
        <v/>
      </c>
      <c r="Y809" s="18" t="n"/>
      <c r="Z809" s="17" t="n"/>
      <c r="AA809" s="18" t="n"/>
      <c r="AB809" s="19" t="n"/>
    </row>
    <row r="810">
      <c r="A810" s="16">
        <f>IF(C810="","",ROW()-1)</f>
        <v/>
      </c>
      <c r="B810" s="17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9" t="n"/>
      <c r="L810" s="19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7" t="n"/>
      <c r="V810" s="18" t="n"/>
      <c r="W810" s="20">
        <f>IF(U810="","",U810+Summary!$C$4)</f>
        <v/>
      </c>
      <c r="X810" s="16">
        <f>IF(OR(U810="",Y810="Removed",Y810="Deindexed only",Y810="No action needed"),"",TODAY()-U810)</f>
        <v/>
      </c>
      <c r="Y810" s="18" t="n"/>
      <c r="Z810" s="17" t="n"/>
      <c r="AA810" s="18" t="n"/>
      <c r="AB810" s="19" t="n"/>
    </row>
    <row r="811">
      <c r="A811" s="16">
        <f>IF(C811="","",ROW()-1)</f>
        <v/>
      </c>
      <c r="B811" s="17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9" t="n"/>
      <c r="L811" s="19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7" t="n"/>
      <c r="V811" s="18" t="n"/>
      <c r="W811" s="20">
        <f>IF(U811="","",U811+Summary!$C$4)</f>
        <v/>
      </c>
      <c r="X811" s="16">
        <f>IF(OR(U811="",Y811="Removed",Y811="Deindexed only",Y811="No action needed"),"",TODAY()-U811)</f>
        <v/>
      </c>
      <c r="Y811" s="18" t="n"/>
      <c r="Z811" s="17" t="n"/>
      <c r="AA811" s="18" t="n"/>
      <c r="AB811" s="19" t="n"/>
    </row>
    <row r="812">
      <c r="A812" s="16">
        <f>IF(C812="","",ROW()-1)</f>
        <v/>
      </c>
      <c r="B812" s="17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9" t="n"/>
      <c r="L812" s="19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7" t="n"/>
      <c r="V812" s="18" t="n"/>
      <c r="W812" s="20">
        <f>IF(U812="","",U812+Summary!$C$4)</f>
        <v/>
      </c>
      <c r="X812" s="16">
        <f>IF(OR(U812="",Y812="Removed",Y812="Deindexed only",Y812="No action needed"),"",TODAY()-U812)</f>
        <v/>
      </c>
      <c r="Y812" s="18" t="n"/>
      <c r="Z812" s="17" t="n"/>
      <c r="AA812" s="18" t="n"/>
      <c r="AB812" s="19" t="n"/>
    </row>
    <row r="813">
      <c r="A813" s="16">
        <f>IF(C813="","",ROW()-1)</f>
        <v/>
      </c>
      <c r="B813" s="17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9" t="n"/>
      <c r="L813" s="19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7" t="n"/>
      <c r="V813" s="18" t="n"/>
      <c r="W813" s="20">
        <f>IF(U813="","",U813+Summary!$C$4)</f>
        <v/>
      </c>
      <c r="X813" s="16">
        <f>IF(OR(U813="",Y813="Removed",Y813="Deindexed only",Y813="No action needed"),"",TODAY()-U813)</f>
        <v/>
      </c>
      <c r="Y813" s="18" t="n"/>
      <c r="Z813" s="17" t="n"/>
      <c r="AA813" s="18" t="n"/>
      <c r="AB813" s="19" t="n"/>
    </row>
    <row r="814">
      <c r="A814" s="16">
        <f>IF(C814="","",ROW()-1)</f>
        <v/>
      </c>
      <c r="B814" s="17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9" t="n"/>
      <c r="L814" s="19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7" t="n"/>
      <c r="V814" s="18" t="n"/>
      <c r="W814" s="20">
        <f>IF(U814="","",U814+Summary!$C$4)</f>
        <v/>
      </c>
      <c r="X814" s="16">
        <f>IF(OR(U814="",Y814="Removed",Y814="Deindexed only",Y814="No action needed"),"",TODAY()-U814)</f>
        <v/>
      </c>
      <c r="Y814" s="18" t="n"/>
      <c r="Z814" s="17" t="n"/>
      <c r="AA814" s="18" t="n"/>
      <c r="AB814" s="19" t="n"/>
    </row>
    <row r="815">
      <c r="A815" s="16">
        <f>IF(C815="","",ROW()-1)</f>
        <v/>
      </c>
      <c r="B815" s="17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9" t="n"/>
      <c r="L815" s="19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7" t="n"/>
      <c r="V815" s="18" t="n"/>
      <c r="W815" s="20">
        <f>IF(U815="","",U815+Summary!$C$4)</f>
        <v/>
      </c>
      <c r="X815" s="16">
        <f>IF(OR(U815="",Y815="Removed",Y815="Deindexed only",Y815="No action needed"),"",TODAY()-U815)</f>
        <v/>
      </c>
      <c r="Y815" s="18" t="n"/>
      <c r="Z815" s="17" t="n"/>
      <c r="AA815" s="18" t="n"/>
      <c r="AB815" s="19" t="n"/>
    </row>
    <row r="816">
      <c r="A816" s="16">
        <f>IF(C816="","",ROW()-1)</f>
        <v/>
      </c>
      <c r="B816" s="17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9" t="n"/>
      <c r="L816" s="19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7" t="n"/>
      <c r="V816" s="18" t="n"/>
      <c r="W816" s="20">
        <f>IF(U816="","",U816+Summary!$C$4)</f>
        <v/>
      </c>
      <c r="X816" s="16">
        <f>IF(OR(U816="",Y816="Removed",Y816="Deindexed only",Y816="No action needed"),"",TODAY()-U816)</f>
        <v/>
      </c>
      <c r="Y816" s="18" t="n"/>
      <c r="Z816" s="17" t="n"/>
      <c r="AA816" s="18" t="n"/>
      <c r="AB816" s="19" t="n"/>
    </row>
    <row r="817">
      <c r="A817" s="16">
        <f>IF(C817="","",ROW()-1)</f>
        <v/>
      </c>
      <c r="B817" s="17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9" t="n"/>
      <c r="L817" s="19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7" t="n"/>
      <c r="V817" s="18" t="n"/>
      <c r="W817" s="20">
        <f>IF(U817="","",U817+Summary!$C$4)</f>
        <v/>
      </c>
      <c r="X817" s="16">
        <f>IF(OR(U817="",Y817="Removed",Y817="Deindexed only",Y817="No action needed"),"",TODAY()-U817)</f>
        <v/>
      </c>
      <c r="Y817" s="18" t="n"/>
      <c r="Z817" s="17" t="n"/>
      <c r="AA817" s="18" t="n"/>
      <c r="AB817" s="19" t="n"/>
    </row>
    <row r="818">
      <c r="A818" s="16">
        <f>IF(C818="","",ROW()-1)</f>
        <v/>
      </c>
      <c r="B818" s="17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9" t="n"/>
      <c r="L818" s="19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7" t="n"/>
      <c r="V818" s="18" t="n"/>
      <c r="W818" s="20">
        <f>IF(U818="","",U818+Summary!$C$4)</f>
        <v/>
      </c>
      <c r="X818" s="16">
        <f>IF(OR(U818="",Y818="Removed",Y818="Deindexed only",Y818="No action needed"),"",TODAY()-U818)</f>
        <v/>
      </c>
      <c r="Y818" s="18" t="n"/>
      <c r="Z818" s="17" t="n"/>
      <c r="AA818" s="18" t="n"/>
      <c r="AB818" s="19" t="n"/>
    </row>
    <row r="819">
      <c r="A819" s="16">
        <f>IF(C819="","",ROW()-1)</f>
        <v/>
      </c>
      <c r="B819" s="17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9" t="n"/>
      <c r="L819" s="19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7" t="n"/>
      <c r="V819" s="18" t="n"/>
      <c r="W819" s="20">
        <f>IF(U819="","",U819+Summary!$C$4)</f>
        <v/>
      </c>
      <c r="X819" s="16">
        <f>IF(OR(U819="",Y819="Removed",Y819="Deindexed only",Y819="No action needed"),"",TODAY()-U819)</f>
        <v/>
      </c>
      <c r="Y819" s="18" t="n"/>
      <c r="Z819" s="17" t="n"/>
      <c r="AA819" s="18" t="n"/>
      <c r="AB819" s="19" t="n"/>
    </row>
    <row r="820">
      <c r="A820" s="16">
        <f>IF(C820="","",ROW()-1)</f>
        <v/>
      </c>
      <c r="B820" s="17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9" t="n"/>
      <c r="L820" s="19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7" t="n"/>
      <c r="V820" s="18" t="n"/>
      <c r="W820" s="20">
        <f>IF(U820="","",U820+Summary!$C$4)</f>
        <v/>
      </c>
      <c r="X820" s="16">
        <f>IF(OR(U820="",Y820="Removed",Y820="Deindexed only",Y820="No action needed"),"",TODAY()-U820)</f>
        <v/>
      </c>
      <c r="Y820" s="18" t="n"/>
      <c r="Z820" s="17" t="n"/>
      <c r="AA820" s="18" t="n"/>
      <c r="AB820" s="19" t="n"/>
    </row>
    <row r="821">
      <c r="A821" s="16">
        <f>IF(C821="","",ROW()-1)</f>
        <v/>
      </c>
      <c r="B821" s="17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9" t="n"/>
      <c r="L821" s="19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7" t="n"/>
      <c r="V821" s="18" t="n"/>
      <c r="W821" s="20">
        <f>IF(U821="","",U821+Summary!$C$4)</f>
        <v/>
      </c>
      <c r="X821" s="16">
        <f>IF(OR(U821="",Y821="Removed",Y821="Deindexed only",Y821="No action needed"),"",TODAY()-U821)</f>
        <v/>
      </c>
      <c r="Y821" s="18" t="n"/>
      <c r="Z821" s="17" t="n"/>
      <c r="AA821" s="18" t="n"/>
      <c r="AB821" s="19" t="n"/>
    </row>
    <row r="822">
      <c r="A822" s="16">
        <f>IF(C822="","",ROW()-1)</f>
        <v/>
      </c>
      <c r="B822" s="17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9" t="n"/>
      <c r="L822" s="19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7" t="n"/>
      <c r="V822" s="18" t="n"/>
      <c r="W822" s="20">
        <f>IF(U822="","",U822+Summary!$C$4)</f>
        <v/>
      </c>
      <c r="X822" s="16">
        <f>IF(OR(U822="",Y822="Removed",Y822="Deindexed only",Y822="No action needed"),"",TODAY()-U822)</f>
        <v/>
      </c>
      <c r="Y822" s="18" t="n"/>
      <c r="Z822" s="17" t="n"/>
      <c r="AA822" s="18" t="n"/>
      <c r="AB822" s="19" t="n"/>
    </row>
    <row r="823">
      <c r="A823" s="16">
        <f>IF(C823="","",ROW()-1)</f>
        <v/>
      </c>
      <c r="B823" s="17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9" t="n"/>
      <c r="L823" s="19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7" t="n"/>
      <c r="V823" s="18" t="n"/>
      <c r="W823" s="20">
        <f>IF(U823="","",U823+Summary!$C$4)</f>
        <v/>
      </c>
      <c r="X823" s="16">
        <f>IF(OR(U823="",Y823="Removed",Y823="Deindexed only",Y823="No action needed"),"",TODAY()-U823)</f>
        <v/>
      </c>
      <c r="Y823" s="18" t="n"/>
      <c r="Z823" s="17" t="n"/>
      <c r="AA823" s="18" t="n"/>
      <c r="AB823" s="19" t="n"/>
    </row>
    <row r="824">
      <c r="A824" s="16">
        <f>IF(C824="","",ROW()-1)</f>
        <v/>
      </c>
      <c r="B824" s="17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9" t="n"/>
      <c r="L824" s="19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7" t="n"/>
      <c r="V824" s="18" t="n"/>
      <c r="W824" s="20">
        <f>IF(U824="","",U824+Summary!$C$4)</f>
        <v/>
      </c>
      <c r="X824" s="16">
        <f>IF(OR(U824="",Y824="Removed",Y824="Deindexed only",Y824="No action needed"),"",TODAY()-U824)</f>
        <v/>
      </c>
      <c r="Y824" s="18" t="n"/>
      <c r="Z824" s="17" t="n"/>
      <c r="AA824" s="18" t="n"/>
      <c r="AB824" s="19" t="n"/>
    </row>
    <row r="825">
      <c r="A825" s="16">
        <f>IF(C825="","",ROW()-1)</f>
        <v/>
      </c>
      <c r="B825" s="17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9" t="n"/>
      <c r="L825" s="19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7" t="n"/>
      <c r="V825" s="18" t="n"/>
      <c r="W825" s="20">
        <f>IF(U825="","",U825+Summary!$C$4)</f>
        <v/>
      </c>
      <c r="X825" s="16">
        <f>IF(OR(U825="",Y825="Removed",Y825="Deindexed only",Y825="No action needed"),"",TODAY()-U825)</f>
        <v/>
      </c>
      <c r="Y825" s="18" t="n"/>
      <c r="Z825" s="17" t="n"/>
      <c r="AA825" s="18" t="n"/>
      <c r="AB825" s="19" t="n"/>
    </row>
    <row r="826">
      <c r="A826" s="16">
        <f>IF(C826="","",ROW()-1)</f>
        <v/>
      </c>
      <c r="B826" s="17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9" t="n"/>
      <c r="L826" s="19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7" t="n"/>
      <c r="V826" s="18" t="n"/>
      <c r="W826" s="20">
        <f>IF(U826="","",U826+Summary!$C$4)</f>
        <v/>
      </c>
      <c r="X826" s="16">
        <f>IF(OR(U826="",Y826="Removed",Y826="Deindexed only",Y826="No action needed"),"",TODAY()-U826)</f>
        <v/>
      </c>
      <c r="Y826" s="18" t="n"/>
      <c r="Z826" s="17" t="n"/>
      <c r="AA826" s="18" t="n"/>
      <c r="AB826" s="19" t="n"/>
    </row>
    <row r="827">
      <c r="A827" s="16">
        <f>IF(C827="","",ROW()-1)</f>
        <v/>
      </c>
      <c r="B827" s="17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9" t="n"/>
      <c r="L827" s="19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7" t="n"/>
      <c r="V827" s="18" t="n"/>
      <c r="W827" s="20">
        <f>IF(U827="","",U827+Summary!$C$4)</f>
        <v/>
      </c>
      <c r="X827" s="16">
        <f>IF(OR(U827="",Y827="Removed",Y827="Deindexed only",Y827="No action needed"),"",TODAY()-U827)</f>
        <v/>
      </c>
      <c r="Y827" s="18" t="n"/>
      <c r="Z827" s="17" t="n"/>
      <c r="AA827" s="18" t="n"/>
      <c r="AB827" s="19" t="n"/>
    </row>
    <row r="828">
      <c r="A828" s="16">
        <f>IF(C828="","",ROW()-1)</f>
        <v/>
      </c>
      <c r="B828" s="17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9" t="n"/>
      <c r="L828" s="19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7" t="n"/>
      <c r="V828" s="18" t="n"/>
      <c r="W828" s="20">
        <f>IF(U828="","",U828+Summary!$C$4)</f>
        <v/>
      </c>
      <c r="X828" s="16">
        <f>IF(OR(U828="",Y828="Removed",Y828="Deindexed only",Y828="No action needed"),"",TODAY()-U828)</f>
        <v/>
      </c>
      <c r="Y828" s="18" t="n"/>
      <c r="Z828" s="17" t="n"/>
      <c r="AA828" s="18" t="n"/>
      <c r="AB828" s="19" t="n"/>
    </row>
    <row r="829">
      <c r="A829" s="16">
        <f>IF(C829="","",ROW()-1)</f>
        <v/>
      </c>
      <c r="B829" s="17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9" t="n"/>
      <c r="L829" s="19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7" t="n"/>
      <c r="V829" s="18" t="n"/>
      <c r="W829" s="20">
        <f>IF(U829="","",U829+Summary!$C$4)</f>
        <v/>
      </c>
      <c r="X829" s="16">
        <f>IF(OR(U829="",Y829="Removed",Y829="Deindexed only",Y829="No action needed"),"",TODAY()-U829)</f>
        <v/>
      </c>
      <c r="Y829" s="18" t="n"/>
      <c r="Z829" s="17" t="n"/>
      <c r="AA829" s="18" t="n"/>
      <c r="AB829" s="19" t="n"/>
    </row>
    <row r="830">
      <c r="A830" s="16">
        <f>IF(C830="","",ROW()-1)</f>
        <v/>
      </c>
      <c r="B830" s="17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9" t="n"/>
      <c r="L830" s="19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7" t="n"/>
      <c r="V830" s="18" t="n"/>
      <c r="W830" s="20">
        <f>IF(U830="","",U830+Summary!$C$4)</f>
        <v/>
      </c>
      <c r="X830" s="16">
        <f>IF(OR(U830="",Y830="Removed",Y830="Deindexed only",Y830="No action needed"),"",TODAY()-U830)</f>
        <v/>
      </c>
      <c r="Y830" s="18" t="n"/>
      <c r="Z830" s="17" t="n"/>
      <c r="AA830" s="18" t="n"/>
      <c r="AB830" s="19" t="n"/>
    </row>
    <row r="831">
      <c r="A831" s="16">
        <f>IF(C831="","",ROW()-1)</f>
        <v/>
      </c>
      <c r="B831" s="17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9" t="n"/>
      <c r="L831" s="19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7" t="n"/>
      <c r="V831" s="18" t="n"/>
      <c r="W831" s="20">
        <f>IF(U831="","",U831+Summary!$C$4)</f>
        <v/>
      </c>
      <c r="X831" s="16">
        <f>IF(OR(U831="",Y831="Removed",Y831="Deindexed only",Y831="No action needed"),"",TODAY()-U831)</f>
        <v/>
      </c>
      <c r="Y831" s="18" t="n"/>
      <c r="Z831" s="17" t="n"/>
      <c r="AA831" s="18" t="n"/>
      <c r="AB831" s="19" t="n"/>
    </row>
    <row r="832">
      <c r="A832" s="16">
        <f>IF(C832="","",ROW()-1)</f>
        <v/>
      </c>
      <c r="B832" s="17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9" t="n"/>
      <c r="L832" s="19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7" t="n"/>
      <c r="V832" s="18" t="n"/>
      <c r="W832" s="20">
        <f>IF(U832="","",U832+Summary!$C$4)</f>
        <v/>
      </c>
      <c r="X832" s="16">
        <f>IF(OR(U832="",Y832="Removed",Y832="Deindexed only",Y832="No action needed"),"",TODAY()-U832)</f>
        <v/>
      </c>
      <c r="Y832" s="18" t="n"/>
      <c r="Z832" s="17" t="n"/>
      <c r="AA832" s="18" t="n"/>
      <c r="AB832" s="19" t="n"/>
    </row>
    <row r="833">
      <c r="A833" s="16">
        <f>IF(C833="","",ROW()-1)</f>
        <v/>
      </c>
      <c r="B833" s="17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9" t="n"/>
      <c r="L833" s="19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7" t="n"/>
      <c r="V833" s="18" t="n"/>
      <c r="W833" s="20">
        <f>IF(U833="","",U833+Summary!$C$4)</f>
        <v/>
      </c>
      <c r="X833" s="16">
        <f>IF(OR(U833="",Y833="Removed",Y833="Deindexed only",Y833="No action needed"),"",TODAY()-U833)</f>
        <v/>
      </c>
      <c r="Y833" s="18" t="n"/>
      <c r="Z833" s="17" t="n"/>
      <c r="AA833" s="18" t="n"/>
      <c r="AB833" s="19" t="n"/>
    </row>
    <row r="834">
      <c r="A834" s="16">
        <f>IF(C834="","",ROW()-1)</f>
        <v/>
      </c>
      <c r="B834" s="17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9" t="n"/>
      <c r="L834" s="19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7" t="n"/>
      <c r="V834" s="18" t="n"/>
      <c r="W834" s="20">
        <f>IF(U834="","",U834+Summary!$C$4)</f>
        <v/>
      </c>
      <c r="X834" s="16">
        <f>IF(OR(U834="",Y834="Removed",Y834="Deindexed only",Y834="No action needed"),"",TODAY()-U834)</f>
        <v/>
      </c>
      <c r="Y834" s="18" t="n"/>
      <c r="Z834" s="17" t="n"/>
      <c r="AA834" s="18" t="n"/>
      <c r="AB834" s="19" t="n"/>
    </row>
    <row r="835">
      <c r="A835" s="16">
        <f>IF(C835="","",ROW()-1)</f>
        <v/>
      </c>
      <c r="B835" s="17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9" t="n"/>
      <c r="L835" s="19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7" t="n"/>
      <c r="V835" s="18" t="n"/>
      <c r="W835" s="20">
        <f>IF(U835="","",U835+Summary!$C$4)</f>
        <v/>
      </c>
      <c r="X835" s="16">
        <f>IF(OR(U835="",Y835="Removed",Y835="Deindexed only",Y835="No action needed"),"",TODAY()-U835)</f>
        <v/>
      </c>
      <c r="Y835" s="18" t="n"/>
      <c r="Z835" s="17" t="n"/>
      <c r="AA835" s="18" t="n"/>
      <c r="AB835" s="19" t="n"/>
    </row>
    <row r="836">
      <c r="A836" s="16">
        <f>IF(C836="","",ROW()-1)</f>
        <v/>
      </c>
      <c r="B836" s="17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9" t="n"/>
      <c r="L836" s="19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7" t="n"/>
      <c r="V836" s="18" t="n"/>
      <c r="W836" s="20">
        <f>IF(U836="","",U836+Summary!$C$4)</f>
        <v/>
      </c>
      <c r="X836" s="16">
        <f>IF(OR(U836="",Y836="Removed",Y836="Deindexed only",Y836="No action needed"),"",TODAY()-U836)</f>
        <v/>
      </c>
      <c r="Y836" s="18" t="n"/>
      <c r="Z836" s="17" t="n"/>
      <c r="AA836" s="18" t="n"/>
      <c r="AB836" s="19" t="n"/>
    </row>
    <row r="837">
      <c r="A837" s="16">
        <f>IF(C837="","",ROW()-1)</f>
        <v/>
      </c>
      <c r="B837" s="17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9" t="n"/>
      <c r="L837" s="19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7" t="n"/>
      <c r="V837" s="18" t="n"/>
      <c r="W837" s="20">
        <f>IF(U837="","",U837+Summary!$C$4)</f>
        <v/>
      </c>
      <c r="X837" s="16">
        <f>IF(OR(U837="",Y837="Removed",Y837="Deindexed only",Y837="No action needed"),"",TODAY()-U837)</f>
        <v/>
      </c>
      <c r="Y837" s="18" t="n"/>
      <c r="Z837" s="17" t="n"/>
      <c r="AA837" s="18" t="n"/>
      <c r="AB837" s="19" t="n"/>
    </row>
    <row r="838">
      <c r="A838" s="16">
        <f>IF(C838="","",ROW()-1)</f>
        <v/>
      </c>
      <c r="B838" s="17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9" t="n"/>
      <c r="L838" s="19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7" t="n"/>
      <c r="V838" s="18" t="n"/>
      <c r="W838" s="20">
        <f>IF(U838="","",U838+Summary!$C$4)</f>
        <v/>
      </c>
      <c r="X838" s="16">
        <f>IF(OR(U838="",Y838="Removed",Y838="Deindexed only",Y838="No action needed"),"",TODAY()-U838)</f>
        <v/>
      </c>
      <c r="Y838" s="18" t="n"/>
      <c r="Z838" s="17" t="n"/>
      <c r="AA838" s="18" t="n"/>
      <c r="AB838" s="19" t="n"/>
    </row>
    <row r="839">
      <c r="A839" s="16">
        <f>IF(C839="","",ROW()-1)</f>
        <v/>
      </c>
      <c r="B839" s="17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9" t="n"/>
      <c r="L839" s="19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7" t="n"/>
      <c r="V839" s="18" t="n"/>
      <c r="W839" s="20">
        <f>IF(U839="","",U839+Summary!$C$4)</f>
        <v/>
      </c>
      <c r="X839" s="16">
        <f>IF(OR(U839="",Y839="Removed",Y839="Deindexed only",Y839="No action needed"),"",TODAY()-U839)</f>
        <v/>
      </c>
      <c r="Y839" s="18" t="n"/>
      <c r="Z839" s="17" t="n"/>
      <c r="AA839" s="18" t="n"/>
      <c r="AB839" s="19" t="n"/>
    </row>
    <row r="840">
      <c r="A840" s="16">
        <f>IF(C840="","",ROW()-1)</f>
        <v/>
      </c>
      <c r="B840" s="17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9" t="n"/>
      <c r="L840" s="19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7" t="n"/>
      <c r="V840" s="18" t="n"/>
      <c r="W840" s="20">
        <f>IF(U840="","",U840+Summary!$C$4)</f>
        <v/>
      </c>
      <c r="X840" s="16">
        <f>IF(OR(U840="",Y840="Removed",Y840="Deindexed only",Y840="No action needed"),"",TODAY()-U840)</f>
        <v/>
      </c>
      <c r="Y840" s="18" t="n"/>
      <c r="Z840" s="17" t="n"/>
      <c r="AA840" s="18" t="n"/>
      <c r="AB840" s="19" t="n"/>
    </row>
    <row r="841">
      <c r="A841" s="16">
        <f>IF(C841="","",ROW()-1)</f>
        <v/>
      </c>
      <c r="B841" s="17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9" t="n"/>
      <c r="L841" s="19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7" t="n"/>
      <c r="V841" s="18" t="n"/>
      <c r="W841" s="20">
        <f>IF(U841="","",U841+Summary!$C$4)</f>
        <v/>
      </c>
      <c r="X841" s="16">
        <f>IF(OR(U841="",Y841="Removed",Y841="Deindexed only",Y841="No action needed"),"",TODAY()-U841)</f>
        <v/>
      </c>
      <c r="Y841" s="18" t="n"/>
      <c r="Z841" s="17" t="n"/>
      <c r="AA841" s="18" t="n"/>
      <c r="AB841" s="19" t="n"/>
    </row>
    <row r="842">
      <c r="A842" s="16">
        <f>IF(C842="","",ROW()-1)</f>
        <v/>
      </c>
      <c r="B842" s="17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9" t="n"/>
      <c r="L842" s="19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7" t="n"/>
      <c r="V842" s="18" t="n"/>
      <c r="W842" s="20">
        <f>IF(U842="","",U842+Summary!$C$4)</f>
        <v/>
      </c>
      <c r="X842" s="16">
        <f>IF(OR(U842="",Y842="Removed",Y842="Deindexed only",Y842="No action needed"),"",TODAY()-U842)</f>
        <v/>
      </c>
      <c r="Y842" s="18" t="n"/>
      <c r="Z842" s="17" t="n"/>
      <c r="AA842" s="18" t="n"/>
      <c r="AB842" s="19" t="n"/>
    </row>
    <row r="843">
      <c r="A843" s="16">
        <f>IF(C843="","",ROW()-1)</f>
        <v/>
      </c>
      <c r="B843" s="17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9" t="n"/>
      <c r="L843" s="19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7" t="n"/>
      <c r="V843" s="18" t="n"/>
      <c r="W843" s="20">
        <f>IF(U843="","",U843+Summary!$C$4)</f>
        <v/>
      </c>
      <c r="X843" s="16">
        <f>IF(OR(U843="",Y843="Removed",Y843="Deindexed only",Y843="No action needed"),"",TODAY()-U843)</f>
        <v/>
      </c>
      <c r="Y843" s="18" t="n"/>
      <c r="Z843" s="17" t="n"/>
      <c r="AA843" s="18" t="n"/>
      <c r="AB843" s="19" t="n"/>
    </row>
    <row r="844">
      <c r="A844" s="16">
        <f>IF(C844="","",ROW()-1)</f>
        <v/>
      </c>
      <c r="B844" s="17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9" t="n"/>
      <c r="L844" s="19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7" t="n"/>
      <c r="V844" s="18" t="n"/>
      <c r="W844" s="20">
        <f>IF(U844="","",U844+Summary!$C$4)</f>
        <v/>
      </c>
      <c r="X844" s="16">
        <f>IF(OR(U844="",Y844="Removed",Y844="Deindexed only",Y844="No action needed"),"",TODAY()-U844)</f>
        <v/>
      </c>
      <c r="Y844" s="18" t="n"/>
      <c r="Z844" s="17" t="n"/>
      <c r="AA844" s="18" t="n"/>
      <c r="AB844" s="19" t="n"/>
    </row>
    <row r="845">
      <c r="A845" s="16">
        <f>IF(C845="","",ROW()-1)</f>
        <v/>
      </c>
      <c r="B845" s="17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9" t="n"/>
      <c r="L845" s="19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7" t="n"/>
      <c r="V845" s="18" t="n"/>
      <c r="W845" s="20">
        <f>IF(U845="","",U845+Summary!$C$4)</f>
        <v/>
      </c>
      <c r="X845" s="16">
        <f>IF(OR(U845="",Y845="Removed",Y845="Deindexed only",Y845="No action needed"),"",TODAY()-U845)</f>
        <v/>
      </c>
      <c r="Y845" s="18" t="n"/>
      <c r="Z845" s="17" t="n"/>
      <c r="AA845" s="18" t="n"/>
      <c r="AB845" s="19" t="n"/>
    </row>
    <row r="846">
      <c r="A846" s="16">
        <f>IF(C846="","",ROW()-1)</f>
        <v/>
      </c>
      <c r="B846" s="17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9" t="n"/>
      <c r="L846" s="19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7" t="n"/>
      <c r="V846" s="18" t="n"/>
      <c r="W846" s="20">
        <f>IF(U846="","",U846+Summary!$C$4)</f>
        <v/>
      </c>
      <c r="X846" s="16">
        <f>IF(OR(U846="",Y846="Removed",Y846="Deindexed only",Y846="No action needed"),"",TODAY()-U846)</f>
        <v/>
      </c>
      <c r="Y846" s="18" t="n"/>
      <c r="Z846" s="17" t="n"/>
      <c r="AA846" s="18" t="n"/>
      <c r="AB846" s="19" t="n"/>
    </row>
    <row r="847">
      <c r="A847" s="16">
        <f>IF(C847="","",ROW()-1)</f>
        <v/>
      </c>
      <c r="B847" s="17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9" t="n"/>
      <c r="L847" s="19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7" t="n"/>
      <c r="V847" s="18" t="n"/>
      <c r="W847" s="20">
        <f>IF(U847="","",U847+Summary!$C$4)</f>
        <v/>
      </c>
      <c r="X847" s="16">
        <f>IF(OR(U847="",Y847="Removed",Y847="Deindexed only",Y847="No action needed"),"",TODAY()-U847)</f>
        <v/>
      </c>
      <c r="Y847" s="18" t="n"/>
      <c r="Z847" s="17" t="n"/>
      <c r="AA847" s="18" t="n"/>
      <c r="AB847" s="19" t="n"/>
    </row>
    <row r="848">
      <c r="A848" s="16">
        <f>IF(C848="","",ROW()-1)</f>
        <v/>
      </c>
      <c r="B848" s="17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9" t="n"/>
      <c r="L848" s="19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7" t="n"/>
      <c r="V848" s="18" t="n"/>
      <c r="W848" s="20">
        <f>IF(U848="","",U848+Summary!$C$4)</f>
        <v/>
      </c>
      <c r="X848" s="16">
        <f>IF(OR(U848="",Y848="Removed",Y848="Deindexed only",Y848="No action needed"),"",TODAY()-U848)</f>
        <v/>
      </c>
      <c r="Y848" s="18" t="n"/>
      <c r="Z848" s="17" t="n"/>
      <c r="AA848" s="18" t="n"/>
      <c r="AB848" s="19" t="n"/>
    </row>
    <row r="849">
      <c r="A849" s="16">
        <f>IF(C849="","",ROW()-1)</f>
        <v/>
      </c>
      <c r="B849" s="17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9" t="n"/>
      <c r="L849" s="19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7" t="n"/>
      <c r="V849" s="18" t="n"/>
      <c r="W849" s="20">
        <f>IF(U849="","",U849+Summary!$C$4)</f>
        <v/>
      </c>
      <c r="X849" s="16">
        <f>IF(OR(U849="",Y849="Removed",Y849="Deindexed only",Y849="No action needed"),"",TODAY()-U849)</f>
        <v/>
      </c>
      <c r="Y849" s="18" t="n"/>
      <c r="Z849" s="17" t="n"/>
      <c r="AA849" s="18" t="n"/>
      <c r="AB849" s="19" t="n"/>
    </row>
    <row r="850">
      <c r="A850" s="16">
        <f>IF(C850="","",ROW()-1)</f>
        <v/>
      </c>
      <c r="B850" s="17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9" t="n"/>
      <c r="L850" s="19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7" t="n"/>
      <c r="V850" s="18" t="n"/>
      <c r="W850" s="20">
        <f>IF(U850="","",U850+Summary!$C$4)</f>
        <v/>
      </c>
      <c r="X850" s="16">
        <f>IF(OR(U850="",Y850="Removed",Y850="Deindexed only",Y850="No action needed"),"",TODAY()-U850)</f>
        <v/>
      </c>
      <c r="Y850" s="18" t="n"/>
      <c r="Z850" s="17" t="n"/>
      <c r="AA850" s="18" t="n"/>
      <c r="AB850" s="19" t="n"/>
    </row>
    <row r="851">
      <c r="A851" s="16">
        <f>IF(C851="","",ROW()-1)</f>
        <v/>
      </c>
      <c r="B851" s="17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9" t="n"/>
      <c r="L851" s="19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7" t="n"/>
      <c r="V851" s="18" t="n"/>
      <c r="W851" s="20">
        <f>IF(U851="","",U851+Summary!$C$4)</f>
        <v/>
      </c>
      <c r="X851" s="16">
        <f>IF(OR(U851="",Y851="Removed",Y851="Deindexed only",Y851="No action needed"),"",TODAY()-U851)</f>
        <v/>
      </c>
      <c r="Y851" s="18" t="n"/>
      <c r="Z851" s="17" t="n"/>
      <c r="AA851" s="18" t="n"/>
      <c r="AB851" s="19" t="n"/>
    </row>
    <row r="852">
      <c r="A852" s="16">
        <f>IF(C852="","",ROW()-1)</f>
        <v/>
      </c>
      <c r="B852" s="17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9" t="n"/>
      <c r="L852" s="19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7" t="n"/>
      <c r="V852" s="18" t="n"/>
      <c r="W852" s="20">
        <f>IF(U852="","",U852+Summary!$C$4)</f>
        <v/>
      </c>
      <c r="X852" s="16">
        <f>IF(OR(U852="",Y852="Removed",Y852="Deindexed only",Y852="No action needed"),"",TODAY()-U852)</f>
        <v/>
      </c>
      <c r="Y852" s="18" t="n"/>
      <c r="Z852" s="17" t="n"/>
      <c r="AA852" s="18" t="n"/>
      <c r="AB852" s="19" t="n"/>
    </row>
    <row r="853">
      <c r="A853" s="16">
        <f>IF(C853="","",ROW()-1)</f>
        <v/>
      </c>
      <c r="B853" s="17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9" t="n"/>
      <c r="L853" s="19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7" t="n"/>
      <c r="V853" s="18" t="n"/>
      <c r="W853" s="20">
        <f>IF(U853="","",U853+Summary!$C$4)</f>
        <v/>
      </c>
      <c r="X853" s="16">
        <f>IF(OR(U853="",Y853="Removed",Y853="Deindexed only",Y853="No action needed"),"",TODAY()-U853)</f>
        <v/>
      </c>
      <c r="Y853" s="18" t="n"/>
      <c r="Z853" s="17" t="n"/>
      <c r="AA853" s="18" t="n"/>
      <c r="AB853" s="19" t="n"/>
    </row>
    <row r="854">
      <c r="A854" s="16">
        <f>IF(C854="","",ROW()-1)</f>
        <v/>
      </c>
      <c r="B854" s="17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9" t="n"/>
      <c r="L854" s="19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7" t="n"/>
      <c r="V854" s="18" t="n"/>
      <c r="W854" s="20">
        <f>IF(U854="","",U854+Summary!$C$4)</f>
        <v/>
      </c>
      <c r="X854" s="16">
        <f>IF(OR(U854="",Y854="Removed",Y854="Deindexed only",Y854="No action needed"),"",TODAY()-U854)</f>
        <v/>
      </c>
      <c r="Y854" s="18" t="n"/>
      <c r="Z854" s="17" t="n"/>
      <c r="AA854" s="18" t="n"/>
      <c r="AB854" s="19" t="n"/>
    </row>
    <row r="855">
      <c r="A855" s="16">
        <f>IF(C855="","",ROW()-1)</f>
        <v/>
      </c>
      <c r="B855" s="17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9" t="n"/>
      <c r="L855" s="19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7" t="n"/>
      <c r="V855" s="18" t="n"/>
      <c r="W855" s="20">
        <f>IF(U855="","",U855+Summary!$C$4)</f>
        <v/>
      </c>
      <c r="X855" s="16">
        <f>IF(OR(U855="",Y855="Removed",Y855="Deindexed only",Y855="No action needed"),"",TODAY()-U855)</f>
        <v/>
      </c>
      <c r="Y855" s="18" t="n"/>
      <c r="Z855" s="17" t="n"/>
      <c r="AA855" s="18" t="n"/>
      <c r="AB855" s="19" t="n"/>
    </row>
    <row r="856">
      <c r="A856" s="16">
        <f>IF(C856="","",ROW()-1)</f>
        <v/>
      </c>
      <c r="B856" s="17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9" t="n"/>
      <c r="L856" s="19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7" t="n"/>
      <c r="V856" s="18" t="n"/>
      <c r="W856" s="20">
        <f>IF(U856="","",U856+Summary!$C$4)</f>
        <v/>
      </c>
      <c r="X856" s="16">
        <f>IF(OR(U856="",Y856="Removed",Y856="Deindexed only",Y856="No action needed"),"",TODAY()-U856)</f>
        <v/>
      </c>
      <c r="Y856" s="18" t="n"/>
      <c r="Z856" s="17" t="n"/>
      <c r="AA856" s="18" t="n"/>
      <c r="AB856" s="19" t="n"/>
    </row>
    <row r="857">
      <c r="A857" s="16">
        <f>IF(C857="","",ROW()-1)</f>
        <v/>
      </c>
      <c r="B857" s="17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9" t="n"/>
      <c r="L857" s="19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7" t="n"/>
      <c r="V857" s="18" t="n"/>
      <c r="W857" s="20">
        <f>IF(U857="","",U857+Summary!$C$4)</f>
        <v/>
      </c>
      <c r="X857" s="16">
        <f>IF(OR(U857="",Y857="Removed",Y857="Deindexed only",Y857="No action needed"),"",TODAY()-U857)</f>
        <v/>
      </c>
      <c r="Y857" s="18" t="n"/>
      <c r="Z857" s="17" t="n"/>
      <c r="AA857" s="18" t="n"/>
      <c r="AB857" s="19" t="n"/>
    </row>
    <row r="858">
      <c r="A858" s="16">
        <f>IF(C858="","",ROW()-1)</f>
        <v/>
      </c>
      <c r="B858" s="17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9" t="n"/>
      <c r="L858" s="19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7" t="n"/>
      <c r="V858" s="18" t="n"/>
      <c r="W858" s="20">
        <f>IF(U858="","",U858+Summary!$C$4)</f>
        <v/>
      </c>
      <c r="X858" s="16">
        <f>IF(OR(U858="",Y858="Removed",Y858="Deindexed only",Y858="No action needed"),"",TODAY()-U858)</f>
        <v/>
      </c>
      <c r="Y858" s="18" t="n"/>
      <c r="Z858" s="17" t="n"/>
      <c r="AA858" s="18" t="n"/>
      <c r="AB858" s="19" t="n"/>
    </row>
    <row r="859">
      <c r="A859" s="16">
        <f>IF(C859="","",ROW()-1)</f>
        <v/>
      </c>
      <c r="B859" s="17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9" t="n"/>
      <c r="L859" s="19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7" t="n"/>
      <c r="V859" s="18" t="n"/>
      <c r="W859" s="20">
        <f>IF(U859="","",U859+Summary!$C$4)</f>
        <v/>
      </c>
      <c r="X859" s="16">
        <f>IF(OR(U859="",Y859="Removed",Y859="Deindexed only",Y859="No action needed"),"",TODAY()-U859)</f>
        <v/>
      </c>
      <c r="Y859" s="18" t="n"/>
      <c r="Z859" s="17" t="n"/>
      <c r="AA859" s="18" t="n"/>
      <c r="AB859" s="19" t="n"/>
    </row>
    <row r="860">
      <c r="A860" s="16">
        <f>IF(C860="","",ROW()-1)</f>
        <v/>
      </c>
      <c r="B860" s="17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9" t="n"/>
      <c r="L860" s="19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7" t="n"/>
      <c r="V860" s="18" t="n"/>
      <c r="W860" s="20">
        <f>IF(U860="","",U860+Summary!$C$4)</f>
        <v/>
      </c>
      <c r="X860" s="16">
        <f>IF(OR(U860="",Y860="Removed",Y860="Deindexed only",Y860="No action needed"),"",TODAY()-U860)</f>
        <v/>
      </c>
      <c r="Y860" s="18" t="n"/>
      <c r="Z860" s="17" t="n"/>
      <c r="AA860" s="18" t="n"/>
      <c r="AB860" s="19" t="n"/>
    </row>
    <row r="861">
      <c r="A861" s="16">
        <f>IF(C861="","",ROW()-1)</f>
        <v/>
      </c>
      <c r="B861" s="17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9" t="n"/>
      <c r="L861" s="19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7" t="n"/>
      <c r="V861" s="18" t="n"/>
      <c r="W861" s="20">
        <f>IF(U861="","",U861+Summary!$C$4)</f>
        <v/>
      </c>
      <c r="X861" s="16">
        <f>IF(OR(U861="",Y861="Removed",Y861="Deindexed only",Y861="No action needed"),"",TODAY()-U861)</f>
        <v/>
      </c>
      <c r="Y861" s="18" t="n"/>
      <c r="Z861" s="17" t="n"/>
      <c r="AA861" s="18" t="n"/>
      <c r="AB861" s="19" t="n"/>
    </row>
    <row r="862">
      <c r="A862" s="16">
        <f>IF(C862="","",ROW()-1)</f>
        <v/>
      </c>
      <c r="B862" s="17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9" t="n"/>
      <c r="L862" s="19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7" t="n"/>
      <c r="V862" s="18" t="n"/>
      <c r="W862" s="20">
        <f>IF(U862="","",U862+Summary!$C$4)</f>
        <v/>
      </c>
      <c r="X862" s="16">
        <f>IF(OR(U862="",Y862="Removed",Y862="Deindexed only",Y862="No action needed"),"",TODAY()-U862)</f>
        <v/>
      </c>
      <c r="Y862" s="18" t="n"/>
      <c r="Z862" s="17" t="n"/>
      <c r="AA862" s="18" t="n"/>
      <c r="AB862" s="19" t="n"/>
    </row>
    <row r="863">
      <c r="A863" s="16">
        <f>IF(C863="","",ROW()-1)</f>
        <v/>
      </c>
      <c r="B863" s="17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9" t="n"/>
      <c r="L863" s="19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7" t="n"/>
      <c r="V863" s="18" t="n"/>
      <c r="W863" s="20">
        <f>IF(U863="","",U863+Summary!$C$4)</f>
        <v/>
      </c>
      <c r="X863" s="16">
        <f>IF(OR(U863="",Y863="Removed",Y863="Deindexed only",Y863="No action needed"),"",TODAY()-U863)</f>
        <v/>
      </c>
      <c r="Y863" s="18" t="n"/>
      <c r="Z863" s="17" t="n"/>
      <c r="AA863" s="18" t="n"/>
      <c r="AB863" s="19" t="n"/>
    </row>
    <row r="864">
      <c r="A864" s="16">
        <f>IF(C864="","",ROW()-1)</f>
        <v/>
      </c>
      <c r="B864" s="17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9" t="n"/>
      <c r="L864" s="19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7" t="n"/>
      <c r="V864" s="18" t="n"/>
      <c r="W864" s="20">
        <f>IF(U864="","",U864+Summary!$C$4)</f>
        <v/>
      </c>
      <c r="X864" s="16">
        <f>IF(OR(U864="",Y864="Removed",Y864="Deindexed only",Y864="No action needed"),"",TODAY()-U864)</f>
        <v/>
      </c>
      <c r="Y864" s="18" t="n"/>
      <c r="Z864" s="17" t="n"/>
      <c r="AA864" s="18" t="n"/>
      <c r="AB864" s="19" t="n"/>
    </row>
    <row r="865">
      <c r="A865" s="16">
        <f>IF(C865="","",ROW()-1)</f>
        <v/>
      </c>
      <c r="B865" s="17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9" t="n"/>
      <c r="L865" s="19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7" t="n"/>
      <c r="V865" s="18" t="n"/>
      <c r="W865" s="20">
        <f>IF(U865="","",U865+Summary!$C$4)</f>
        <v/>
      </c>
      <c r="X865" s="16">
        <f>IF(OR(U865="",Y865="Removed",Y865="Deindexed only",Y865="No action needed"),"",TODAY()-U865)</f>
        <v/>
      </c>
      <c r="Y865" s="18" t="n"/>
      <c r="Z865" s="17" t="n"/>
      <c r="AA865" s="18" t="n"/>
      <c r="AB865" s="19" t="n"/>
    </row>
    <row r="866">
      <c r="A866" s="16">
        <f>IF(C866="","",ROW()-1)</f>
        <v/>
      </c>
      <c r="B866" s="17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9" t="n"/>
      <c r="L866" s="19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7" t="n"/>
      <c r="V866" s="18" t="n"/>
      <c r="W866" s="20">
        <f>IF(U866="","",U866+Summary!$C$4)</f>
        <v/>
      </c>
      <c r="X866" s="16">
        <f>IF(OR(U866="",Y866="Removed",Y866="Deindexed only",Y866="No action needed"),"",TODAY()-U866)</f>
        <v/>
      </c>
      <c r="Y866" s="18" t="n"/>
      <c r="Z866" s="17" t="n"/>
      <c r="AA866" s="18" t="n"/>
      <c r="AB866" s="19" t="n"/>
    </row>
    <row r="867">
      <c r="A867" s="16">
        <f>IF(C867="","",ROW()-1)</f>
        <v/>
      </c>
      <c r="B867" s="17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9" t="n"/>
      <c r="L867" s="19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7" t="n"/>
      <c r="V867" s="18" t="n"/>
      <c r="W867" s="20">
        <f>IF(U867="","",U867+Summary!$C$4)</f>
        <v/>
      </c>
      <c r="X867" s="16">
        <f>IF(OR(U867="",Y867="Removed",Y867="Deindexed only",Y867="No action needed"),"",TODAY()-U867)</f>
        <v/>
      </c>
      <c r="Y867" s="18" t="n"/>
      <c r="Z867" s="17" t="n"/>
      <c r="AA867" s="18" t="n"/>
      <c r="AB867" s="19" t="n"/>
    </row>
    <row r="868">
      <c r="A868" s="16">
        <f>IF(C868="","",ROW()-1)</f>
        <v/>
      </c>
      <c r="B868" s="17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9" t="n"/>
      <c r="L868" s="19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7" t="n"/>
      <c r="V868" s="18" t="n"/>
      <c r="W868" s="20">
        <f>IF(U868="","",U868+Summary!$C$4)</f>
        <v/>
      </c>
      <c r="X868" s="16">
        <f>IF(OR(U868="",Y868="Removed",Y868="Deindexed only",Y868="No action needed"),"",TODAY()-U868)</f>
        <v/>
      </c>
      <c r="Y868" s="18" t="n"/>
      <c r="Z868" s="17" t="n"/>
      <c r="AA868" s="18" t="n"/>
      <c r="AB868" s="19" t="n"/>
    </row>
    <row r="869">
      <c r="A869" s="16">
        <f>IF(C869="","",ROW()-1)</f>
        <v/>
      </c>
      <c r="B869" s="17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9" t="n"/>
      <c r="L869" s="19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7" t="n"/>
      <c r="V869" s="18" t="n"/>
      <c r="W869" s="20">
        <f>IF(U869="","",U869+Summary!$C$4)</f>
        <v/>
      </c>
      <c r="X869" s="16">
        <f>IF(OR(U869="",Y869="Removed",Y869="Deindexed only",Y869="No action needed"),"",TODAY()-U869)</f>
        <v/>
      </c>
      <c r="Y869" s="18" t="n"/>
      <c r="Z869" s="17" t="n"/>
      <c r="AA869" s="18" t="n"/>
      <c r="AB869" s="19" t="n"/>
    </row>
    <row r="870">
      <c r="A870" s="16">
        <f>IF(C870="","",ROW()-1)</f>
        <v/>
      </c>
      <c r="B870" s="17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9" t="n"/>
      <c r="L870" s="19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7" t="n"/>
      <c r="V870" s="18" t="n"/>
      <c r="W870" s="20">
        <f>IF(U870="","",U870+Summary!$C$4)</f>
        <v/>
      </c>
      <c r="X870" s="16">
        <f>IF(OR(U870="",Y870="Removed",Y870="Deindexed only",Y870="No action needed"),"",TODAY()-U870)</f>
        <v/>
      </c>
      <c r="Y870" s="18" t="n"/>
      <c r="Z870" s="17" t="n"/>
      <c r="AA870" s="18" t="n"/>
      <c r="AB870" s="19" t="n"/>
    </row>
    <row r="871">
      <c r="A871" s="16">
        <f>IF(C871="","",ROW()-1)</f>
        <v/>
      </c>
      <c r="B871" s="17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9" t="n"/>
      <c r="L871" s="19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7" t="n"/>
      <c r="V871" s="18" t="n"/>
      <c r="W871" s="20">
        <f>IF(U871="","",U871+Summary!$C$4)</f>
        <v/>
      </c>
      <c r="X871" s="16">
        <f>IF(OR(U871="",Y871="Removed",Y871="Deindexed only",Y871="No action needed"),"",TODAY()-U871)</f>
        <v/>
      </c>
      <c r="Y871" s="18" t="n"/>
      <c r="Z871" s="17" t="n"/>
      <c r="AA871" s="18" t="n"/>
      <c r="AB871" s="19" t="n"/>
    </row>
    <row r="872">
      <c r="A872" s="16">
        <f>IF(C872="","",ROW()-1)</f>
        <v/>
      </c>
      <c r="B872" s="17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9" t="n"/>
      <c r="L872" s="19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7" t="n"/>
      <c r="V872" s="18" t="n"/>
      <c r="W872" s="20">
        <f>IF(U872="","",U872+Summary!$C$4)</f>
        <v/>
      </c>
      <c r="X872" s="16">
        <f>IF(OR(U872="",Y872="Removed",Y872="Deindexed only",Y872="No action needed"),"",TODAY()-U872)</f>
        <v/>
      </c>
      <c r="Y872" s="18" t="n"/>
      <c r="Z872" s="17" t="n"/>
      <c r="AA872" s="18" t="n"/>
      <c r="AB872" s="19" t="n"/>
    </row>
    <row r="873">
      <c r="A873" s="16">
        <f>IF(C873="","",ROW()-1)</f>
        <v/>
      </c>
      <c r="B873" s="17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9" t="n"/>
      <c r="L873" s="19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7" t="n"/>
      <c r="V873" s="18" t="n"/>
      <c r="W873" s="20">
        <f>IF(U873="","",U873+Summary!$C$4)</f>
        <v/>
      </c>
      <c r="X873" s="16">
        <f>IF(OR(U873="",Y873="Removed",Y873="Deindexed only",Y873="No action needed"),"",TODAY()-U873)</f>
        <v/>
      </c>
      <c r="Y873" s="18" t="n"/>
      <c r="Z873" s="17" t="n"/>
      <c r="AA873" s="18" t="n"/>
      <c r="AB873" s="19" t="n"/>
    </row>
    <row r="874">
      <c r="A874" s="16">
        <f>IF(C874="","",ROW()-1)</f>
        <v/>
      </c>
      <c r="B874" s="17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9" t="n"/>
      <c r="L874" s="19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7" t="n"/>
      <c r="V874" s="18" t="n"/>
      <c r="W874" s="20">
        <f>IF(U874="","",U874+Summary!$C$4)</f>
        <v/>
      </c>
      <c r="X874" s="16">
        <f>IF(OR(U874="",Y874="Removed",Y874="Deindexed only",Y874="No action needed"),"",TODAY()-U874)</f>
        <v/>
      </c>
      <c r="Y874" s="18" t="n"/>
      <c r="Z874" s="17" t="n"/>
      <c r="AA874" s="18" t="n"/>
      <c r="AB874" s="19" t="n"/>
    </row>
    <row r="875">
      <c r="A875" s="16">
        <f>IF(C875="","",ROW()-1)</f>
        <v/>
      </c>
      <c r="B875" s="17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9" t="n"/>
      <c r="L875" s="19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7" t="n"/>
      <c r="V875" s="18" t="n"/>
      <c r="W875" s="20">
        <f>IF(U875="","",U875+Summary!$C$4)</f>
        <v/>
      </c>
      <c r="X875" s="16">
        <f>IF(OR(U875="",Y875="Removed",Y875="Deindexed only",Y875="No action needed"),"",TODAY()-U875)</f>
        <v/>
      </c>
      <c r="Y875" s="18" t="n"/>
      <c r="Z875" s="17" t="n"/>
      <c r="AA875" s="18" t="n"/>
      <c r="AB875" s="19" t="n"/>
    </row>
    <row r="876">
      <c r="A876" s="16">
        <f>IF(C876="","",ROW()-1)</f>
        <v/>
      </c>
      <c r="B876" s="17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9" t="n"/>
      <c r="L876" s="19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7" t="n"/>
      <c r="V876" s="18" t="n"/>
      <c r="W876" s="20">
        <f>IF(U876="","",U876+Summary!$C$4)</f>
        <v/>
      </c>
      <c r="X876" s="16">
        <f>IF(OR(U876="",Y876="Removed",Y876="Deindexed only",Y876="No action needed"),"",TODAY()-U876)</f>
        <v/>
      </c>
      <c r="Y876" s="18" t="n"/>
      <c r="Z876" s="17" t="n"/>
      <c r="AA876" s="18" t="n"/>
      <c r="AB876" s="19" t="n"/>
    </row>
    <row r="877">
      <c r="A877" s="16">
        <f>IF(C877="","",ROW()-1)</f>
        <v/>
      </c>
      <c r="B877" s="17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9" t="n"/>
      <c r="L877" s="19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7" t="n"/>
      <c r="V877" s="18" t="n"/>
      <c r="W877" s="20">
        <f>IF(U877="","",U877+Summary!$C$4)</f>
        <v/>
      </c>
      <c r="X877" s="16">
        <f>IF(OR(U877="",Y877="Removed",Y877="Deindexed only",Y877="No action needed"),"",TODAY()-U877)</f>
        <v/>
      </c>
      <c r="Y877" s="18" t="n"/>
      <c r="Z877" s="17" t="n"/>
      <c r="AA877" s="18" t="n"/>
      <c r="AB877" s="19" t="n"/>
    </row>
    <row r="878">
      <c r="A878" s="16">
        <f>IF(C878="","",ROW()-1)</f>
        <v/>
      </c>
      <c r="B878" s="17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9" t="n"/>
      <c r="L878" s="19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7" t="n"/>
      <c r="V878" s="18" t="n"/>
      <c r="W878" s="20">
        <f>IF(U878="","",U878+Summary!$C$4)</f>
        <v/>
      </c>
      <c r="X878" s="16">
        <f>IF(OR(U878="",Y878="Removed",Y878="Deindexed only",Y878="No action needed"),"",TODAY()-U878)</f>
        <v/>
      </c>
      <c r="Y878" s="18" t="n"/>
      <c r="Z878" s="17" t="n"/>
      <c r="AA878" s="18" t="n"/>
      <c r="AB878" s="19" t="n"/>
    </row>
    <row r="879">
      <c r="A879" s="16">
        <f>IF(C879="","",ROW()-1)</f>
        <v/>
      </c>
      <c r="B879" s="17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9" t="n"/>
      <c r="L879" s="19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7" t="n"/>
      <c r="V879" s="18" t="n"/>
      <c r="W879" s="20">
        <f>IF(U879="","",U879+Summary!$C$4)</f>
        <v/>
      </c>
      <c r="X879" s="16">
        <f>IF(OR(U879="",Y879="Removed",Y879="Deindexed only",Y879="No action needed"),"",TODAY()-U879)</f>
        <v/>
      </c>
      <c r="Y879" s="18" t="n"/>
      <c r="Z879" s="17" t="n"/>
      <c r="AA879" s="18" t="n"/>
      <c r="AB879" s="19" t="n"/>
    </row>
    <row r="880">
      <c r="A880" s="16">
        <f>IF(C880="","",ROW()-1)</f>
        <v/>
      </c>
      <c r="B880" s="17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9" t="n"/>
      <c r="L880" s="19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7" t="n"/>
      <c r="V880" s="18" t="n"/>
      <c r="W880" s="20">
        <f>IF(U880="","",U880+Summary!$C$4)</f>
        <v/>
      </c>
      <c r="X880" s="16">
        <f>IF(OR(U880="",Y880="Removed",Y880="Deindexed only",Y880="No action needed"),"",TODAY()-U880)</f>
        <v/>
      </c>
      <c r="Y880" s="18" t="n"/>
      <c r="Z880" s="17" t="n"/>
      <c r="AA880" s="18" t="n"/>
      <c r="AB880" s="19" t="n"/>
    </row>
    <row r="881">
      <c r="A881" s="16">
        <f>IF(C881="","",ROW()-1)</f>
        <v/>
      </c>
      <c r="B881" s="17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9" t="n"/>
      <c r="L881" s="19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7" t="n"/>
      <c r="V881" s="18" t="n"/>
      <c r="W881" s="20">
        <f>IF(U881="","",U881+Summary!$C$4)</f>
        <v/>
      </c>
      <c r="X881" s="16">
        <f>IF(OR(U881="",Y881="Removed",Y881="Deindexed only",Y881="No action needed"),"",TODAY()-U881)</f>
        <v/>
      </c>
      <c r="Y881" s="18" t="n"/>
      <c r="Z881" s="17" t="n"/>
      <c r="AA881" s="18" t="n"/>
      <c r="AB881" s="19" t="n"/>
    </row>
    <row r="882">
      <c r="A882" s="16">
        <f>IF(C882="","",ROW()-1)</f>
        <v/>
      </c>
      <c r="B882" s="17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9" t="n"/>
      <c r="L882" s="19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7" t="n"/>
      <c r="V882" s="18" t="n"/>
      <c r="W882" s="20">
        <f>IF(U882="","",U882+Summary!$C$4)</f>
        <v/>
      </c>
      <c r="X882" s="16">
        <f>IF(OR(U882="",Y882="Removed",Y882="Deindexed only",Y882="No action needed"),"",TODAY()-U882)</f>
        <v/>
      </c>
      <c r="Y882" s="18" t="n"/>
      <c r="Z882" s="17" t="n"/>
      <c r="AA882" s="18" t="n"/>
      <c r="AB882" s="19" t="n"/>
    </row>
    <row r="883">
      <c r="A883" s="16">
        <f>IF(C883="","",ROW()-1)</f>
        <v/>
      </c>
      <c r="B883" s="17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9" t="n"/>
      <c r="L883" s="19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7" t="n"/>
      <c r="V883" s="18" t="n"/>
      <c r="W883" s="20">
        <f>IF(U883="","",U883+Summary!$C$4)</f>
        <v/>
      </c>
      <c r="X883" s="16">
        <f>IF(OR(U883="",Y883="Removed",Y883="Deindexed only",Y883="No action needed"),"",TODAY()-U883)</f>
        <v/>
      </c>
      <c r="Y883" s="18" t="n"/>
      <c r="Z883" s="17" t="n"/>
      <c r="AA883" s="18" t="n"/>
      <c r="AB883" s="19" t="n"/>
    </row>
    <row r="884">
      <c r="A884" s="16">
        <f>IF(C884="","",ROW()-1)</f>
        <v/>
      </c>
      <c r="B884" s="17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9" t="n"/>
      <c r="L884" s="19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7" t="n"/>
      <c r="V884" s="18" t="n"/>
      <c r="W884" s="20">
        <f>IF(U884="","",U884+Summary!$C$4)</f>
        <v/>
      </c>
      <c r="X884" s="16">
        <f>IF(OR(U884="",Y884="Removed",Y884="Deindexed only",Y884="No action needed"),"",TODAY()-U884)</f>
        <v/>
      </c>
      <c r="Y884" s="18" t="n"/>
      <c r="Z884" s="17" t="n"/>
      <c r="AA884" s="18" t="n"/>
      <c r="AB884" s="19" t="n"/>
    </row>
    <row r="885">
      <c r="A885" s="16">
        <f>IF(C885="","",ROW()-1)</f>
        <v/>
      </c>
      <c r="B885" s="17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9" t="n"/>
      <c r="L885" s="19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7" t="n"/>
      <c r="V885" s="18" t="n"/>
      <c r="W885" s="20">
        <f>IF(U885="","",U885+Summary!$C$4)</f>
        <v/>
      </c>
      <c r="X885" s="16">
        <f>IF(OR(U885="",Y885="Removed",Y885="Deindexed only",Y885="No action needed"),"",TODAY()-U885)</f>
        <v/>
      </c>
      <c r="Y885" s="18" t="n"/>
      <c r="Z885" s="17" t="n"/>
      <c r="AA885" s="18" t="n"/>
      <c r="AB885" s="19" t="n"/>
    </row>
    <row r="886">
      <c r="A886" s="16">
        <f>IF(C886="","",ROW()-1)</f>
        <v/>
      </c>
      <c r="B886" s="17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9" t="n"/>
      <c r="L886" s="19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7" t="n"/>
      <c r="V886" s="18" t="n"/>
      <c r="W886" s="20">
        <f>IF(U886="","",U886+Summary!$C$4)</f>
        <v/>
      </c>
      <c r="X886" s="16">
        <f>IF(OR(U886="",Y886="Removed",Y886="Deindexed only",Y886="No action needed"),"",TODAY()-U886)</f>
        <v/>
      </c>
      <c r="Y886" s="18" t="n"/>
      <c r="Z886" s="17" t="n"/>
      <c r="AA886" s="18" t="n"/>
      <c r="AB886" s="19" t="n"/>
    </row>
    <row r="887">
      <c r="A887" s="16">
        <f>IF(C887="","",ROW()-1)</f>
        <v/>
      </c>
      <c r="B887" s="17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9" t="n"/>
      <c r="L887" s="19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7" t="n"/>
      <c r="V887" s="18" t="n"/>
      <c r="W887" s="20">
        <f>IF(U887="","",U887+Summary!$C$4)</f>
        <v/>
      </c>
      <c r="X887" s="16">
        <f>IF(OR(U887="",Y887="Removed",Y887="Deindexed only",Y887="No action needed"),"",TODAY()-U887)</f>
        <v/>
      </c>
      <c r="Y887" s="18" t="n"/>
      <c r="Z887" s="17" t="n"/>
      <c r="AA887" s="18" t="n"/>
      <c r="AB887" s="19" t="n"/>
    </row>
    <row r="888">
      <c r="A888" s="16">
        <f>IF(C888="","",ROW()-1)</f>
        <v/>
      </c>
      <c r="B888" s="17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9" t="n"/>
      <c r="L888" s="19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7" t="n"/>
      <c r="V888" s="18" t="n"/>
      <c r="W888" s="20">
        <f>IF(U888="","",U888+Summary!$C$4)</f>
        <v/>
      </c>
      <c r="X888" s="16">
        <f>IF(OR(U888="",Y888="Removed",Y888="Deindexed only",Y888="No action needed"),"",TODAY()-U888)</f>
        <v/>
      </c>
      <c r="Y888" s="18" t="n"/>
      <c r="Z888" s="17" t="n"/>
      <c r="AA888" s="18" t="n"/>
      <c r="AB888" s="19" t="n"/>
    </row>
    <row r="889">
      <c r="A889" s="16">
        <f>IF(C889="","",ROW()-1)</f>
        <v/>
      </c>
      <c r="B889" s="17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9" t="n"/>
      <c r="L889" s="19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7" t="n"/>
      <c r="V889" s="18" t="n"/>
      <c r="W889" s="20">
        <f>IF(U889="","",U889+Summary!$C$4)</f>
        <v/>
      </c>
      <c r="X889" s="16">
        <f>IF(OR(U889="",Y889="Removed",Y889="Deindexed only",Y889="No action needed"),"",TODAY()-U889)</f>
        <v/>
      </c>
      <c r="Y889" s="18" t="n"/>
      <c r="Z889" s="17" t="n"/>
      <c r="AA889" s="18" t="n"/>
      <c r="AB889" s="19" t="n"/>
    </row>
    <row r="890">
      <c r="A890" s="16">
        <f>IF(C890="","",ROW()-1)</f>
        <v/>
      </c>
      <c r="B890" s="17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9" t="n"/>
      <c r="L890" s="19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7" t="n"/>
      <c r="V890" s="18" t="n"/>
      <c r="W890" s="20">
        <f>IF(U890="","",U890+Summary!$C$4)</f>
        <v/>
      </c>
      <c r="X890" s="16">
        <f>IF(OR(U890="",Y890="Removed",Y890="Deindexed only",Y890="No action needed"),"",TODAY()-U890)</f>
        <v/>
      </c>
      <c r="Y890" s="18" t="n"/>
      <c r="Z890" s="17" t="n"/>
      <c r="AA890" s="18" t="n"/>
      <c r="AB890" s="19" t="n"/>
    </row>
    <row r="891">
      <c r="A891" s="16">
        <f>IF(C891="","",ROW()-1)</f>
        <v/>
      </c>
      <c r="B891" s="17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9" t="n"/>
      <c r="L891" s="19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7" t="n"/>
      <c r="V891" s="18" t="n"/>
      <c r="W891" s="20">
        <f>IF(U891="","",U891+Summary!$C$4)</f>
        <v/>
      </c>
      <c r="X891" s="16">
        <f>IF(OR(U891="",Y891="Removed",Y891="Deindexed only",Y891="No action needed"),"",TODAY()-U891)</f>
        <v/>
      </c>
      <c r="Y891" s="18" t="n"/>
      <c r="Z891" s="17" t="n"/>
      <c r="AA891" s="18" t="n"/>
      <c r="AB891" s="19" t="n"/>
    </row>
    <row r="892">
      <c r="A892" s="16">
        <f>IF(C892="","",ROW()-1)</f>
        <v/>
      </c>
      <c r="B892" s="17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9" t="n"/>
      <c r="L892" s="19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7" t="n"/>
      <c r="V892" s="18" t="n"/>
      <c r="W892" s="20">
        <f>IF(U892="","",U892+Summary!$C$4)</f>
        <v/>
      </c>
      <c r="X892" s="16">
        <f>IF(OR(U892="",Y892="Removed",Y892="Deindexed only",Y892="No action needed"),"",TODAY()-U892)</f>
        <v/>
      </c>
      <c r="Y892" s="18" t="n"/>
      <c r="Z892" s="17" t="n"/>
      <c r="AA892" s="18" t="n"/>
      <c r="AB892" s="19" t="n"/>
    </row>
    <row r="893">
      <c r="A893" s="16">
        <f>IF(C893="","",ROW()-1)</f>
        <v/>
      </c>
      <c r="B893" s="17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9" t="n"/>
      <c r="L893" s="19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7" t="n"/>
      <c r="V893" s="18" t="n"/>
      <c r="W893" s="20">
        <f>IF(U893="","",U893+Summary!$C$4)</f>
        <v/>
      </c>
      <c r="X893" s="16">
        <f>IF(OR(U893="",Y893="Removed",Y893="Deindexed only",Y893="No action needed"),"",TODAY()-U893)</f>
        <v/>
      </c>
      <c r="Y893" s="18" t="n"/>
      <c r="Z893" s="17" t="n"/>
      <c r="AA893" s="18" t="n"/>
      <c r="AB893" s="19" t="n"/>
    </row>
    <row r="894">
      <c r="A894" s="16">
        <f>IF(C894="","",ROW()-1)</f>
        <v/>
      </c>
      <c r="B894" s="17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9" t="n"/>
      <c r="L894" s="19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7" t="n"/>
      <c r="V894" s="18" t="n"/>
      <c r="W894" s="20">
        <f>IF(U894="","",U894+Summary!$C$4)</f>
        <v/>
      </c>
      <c r="X894" s="16">
        <f>IF(OR(U894="",Y894="Removed",Y894="Deindexed only",Y894="No action needed"),"",TODAY()-U894)</f>
        <v/>
      </c>
      <c r="Y894" s="18" t="n"/>
      <c r="Z894" s="17" t="n"/>
      <c r="AA894" s="18" t="n"/>
      <c r="AB894" s="19" t="n"/>
    </row>
    <row r="895">
      <c r="A895" s="16">
        <f>IF(C895="","",ROW()-1)</f>
        <v/>
      </c>
      <c r="B895" s="17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9" t="n"/>
      <c r="L895" s="19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7" t="n"/>
      <c r="V895" s="18" t="n"/>
      <c r="W895" s="20">
        <f>IF(U895="","",U895+Summary!$C$4)</f>
        <v/>
      </c>
      <c r="X895" s="16">
        <f>IF(OR(U895="",Y895="Removed",Y895="Deindexed only",Y895="No action needed"),"",TODAY()-U895)</f>
        <v/>
      </c>
      <c r="Y895" s="18" t="n"/>
      <c r="Z895" s="17" t="n"/>
      <c r="AA895" s="18" t="n"/>
      <c r="AB895" s="19" t="n"/>
    </row>
    <row r="896">
      <c r="A896" s="16">
        <f>IF(C896="","",ROW()-1)</f>
        <v/>
      </c>
      <c r="B896" s="17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9" t="n"/>
      <c r="L896" s="19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7" t="n"/>
      <c r="V896" s="18" t="n"/>
      <c r="W896" s="20">
        <f>IF(U896="","",U896+Summary!$C$4)</f>
        <v/>
      </c>
      <c r="X896" s="16">
        <f>IF(OR(U896="",Y896="Removed",Y896="Deindexed only",Y896="No action needed"),"",TODAY()-U896)</f>
        <v/>
      </c>
      <c r="Y896" s="18" t="n"/>
      <c r="Z896" s="17" t="n"/>
      <c r="AA896" s="18" t="n"/>
      <c r="AB896" s="19" t="n"/>
    </row>
    <row r="897">
      <c r="A897" s="16">
        <f>IF(C897="","",ROW()-1)</f>
        <v/>
      </c>
      <c r="B897" s="17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9" t="n"/>
      <c r="L897" s="19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7" t="n"/>
      <c r="V897" s="18" t="n"/>
      <c r="W897" s="20">
        <f>IF(U897="","",U897+Summary!$C$4)</f>
        <v/>
      </c>
      <c r="X897" s="16">
        <f>IF(OR(U897="",Y897="Removed",Y897="Deindexed only",Y897="No action needed"),"",TODAY()-U897)</f>
        <v/>
      </c>
      <c r="Y897" s="18" t="n"/>
      <c r="Z897" s="17" t="n"/>
      <c r="AA897" s="18" t="n"/>
      <c r="AB897" s="19" t="n"/>
    </row>
    <row r="898">
      <c r="A898" s="16">
        <f>IF(C898="","",ROW()-1)</f>
        <v/>
      </c>
      <c r="B898" s="17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9" t="n"/>
      <c r="L898" s="19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7" t="n"/>
      <c r="V898" s="18" t="n"/>
      <c r="W898" s="20">
        <f>IF(U898="","",U898+Summary!$C$4)</f>
        <v/>
      </c>
      <c r="X898" s="16">
        <f>IF(OR(U898="",Y898="Removed",Y898="Deindexed only",Y898="No action needed"),"",TODAY()-U898)</f>
        <v/>
      </c>
      <c r="Y898" s="18" t="n"/>
      <c r="Z898" s="17" t="n"/>
      <c r="AA898" s="18" t="n"/>
      <c r="AB898" s="19" t="n"/>
    </row>
    <row r="899">
      <c r="A899" s="16">
        <f>IF(C899="","",ROW()-1)</f>
        <v/>
      </c>
      <c r="B899" s="17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9" t="n"/>
      <c r="L899" s="19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7" t="n"/>
      <c r="V899" s="18" t="n"/>
      <c r="W899" s="20">
        <f>IF(U899="","",U899+Summary!$C$4)</f>
        <v/>
      </c>
      <c r="X899" s="16">
        <f>IF(OR(U899="",Y899="Removed",Y899="Deindexed only",Y899="No action needed"),"",TODAY()-U899)</f>
        <v/>
      </c>
      <c r="Y899" s="18" t="n"/>
      <c r="Z899" s="17" t="n"/>
      <c r="AA899" s="18" t="n"/>
      <c r="AB899" s="19" t="n"/>
    </row>
    <row r="900">
      <c r="A900" s="16">
        <f>IF(C900="","",ROW()-1)</f>
        <v/>
      </c>
      <c r="B900" s="17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9" t="n"/>
      <c r="L900" s="19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7" t="n"/>
      <c r="V900" s="18" t="n"/>
      <c r="W900" s="20">
        <f>IF(U900="","",U900+Summary!$C$4)</f>
        <v/>
      </c>
      <c r="X900" s="16">
        <f>IF(OR(U900="",Y900="Removed",Y900="Deindexed only",Y900="No action needed"),"",TODAY()-U900)</f>
        <v/>
      </c>
      <c r="Y900" s="18" t="n"/>
      <c r="Z900" s="17" t="n"/>
      <c r="AA900" s="18" t="n"/>
      <c r="AB900" s="19" t="n"/>
    </row>
    <row r="901">
      <c r="A901" s="16">
        <f>IF(C901="","",ROW()-1)</f>
        <v/>
      </c>
      <c r="B901" s="17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9" t="n"/>
      <c r="L901" s="19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7" t="n"/>
      <c r="V901" s="18" t="n"/>
      <c r="W901" s="20">
        <f>IF(U901="","",U901+Summary!$C$4)</f>
        <v/>
      </c>
      <c r="X901" s="16">
        <f>IF(OR(U901="",Y901="Removed",Y901="Deindexed only",Y901="No action needed"),"",TODAY()-U901)</f>
        <v/>
      </c>
      <c r="Y901" s="18" t="n"/>
      <c r="Z901" s="17" t="n"/>
      <c r="AA901" s="18" t="n"/>
      <c r="AB901" s="19" t="n"/>
    </row>
    <row r="902">
      <c r="A902" s="16">
        <f>IF(C902="","",ROW()-1)</f>
        <v/>
      </c>
      <c r="B902" s="17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9" t="n"/>
      <c r="L902" s="19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7" t="n"/>
      <c r="V902" s="18" t="n"/>
      <c r="W902" s="20">
        <f>IF(U902="","",U902+Summary!$C$4)</f>
        <v/>
      </c>
      <c r="X902" s="16">
        <f>IF(OR(U902="",Y902="Removed",Y902="Deindexed only",Y902="No action needed"),"",TODAY()-U902)</f>
        <v/>
      </c>
      <c r="Y902" s="18" t="n"/>
      <c r="Z902" s="17" t="n"/>
      <c r="AA902" s="18" t="n"/>
      <c r="AB902" s="19" t="n"/>
    </row>
    <row r="903">
      <c r="A903" s="16">
        <f>IF(C903="","",ROW()-1)</f>
        <v/>
      </c>
      <c r="B903" s="17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9" t="n"/>
      <c r="L903" s="19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7" t="n"/>
      <c r="V903" s="18" t="n"/>
      <c r="W903" s="20">
        <f>IF(U903="","",U903+Summary!$C$4)</f>
        <v/>
      </c>
      <c r="X903" s="16">
        <f>IF(OR(U903="",Y903="Removed",Y903="Deindexed only",Y903="No action needed"),"",TODAY()-U903)</f>
        <v/>
      </c>
      <c r="Y903" s="18" t="n"/>
      <c r="Z903" s="17" t="n"/>
      <c r="AA903" s="18" t="n"/>
      <c r="AB903" s="19" t="n"/>
    </row>
    <row r="904">
      <c r="A904" s="16">
        <f>IF(C904="","",ROW()-1)</f>
        <v/>
      </c>
      <c r="B904" s="17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9" t="n"/>
      <c r="L904" s="19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7" t="n"/>
      <c r="V904" s="18" t="n"/>
      <c r="W904" s="20">
        <f>IF(U904="","",U904+Summary!$C$4)</f>
        <v/>
      </c>
      <c r="X904" s="16">
        <f>IF(OR(U904="",Y904="Removed",Y904="Deindexed only",Y904="No action needed"),"",TODAY()-U904)</f>
        <v/>
      </c>
      <c r="Y904" s="18" t="n"/>
      <c r="Z904" s="17" t="n"/>
      <c r="AA904" s="18" t="n"/>
      <c r="AB904" s="19" t="n"/>
    </row>
    <row r="905">
      <c r="A905" s="16">
        <f>IF(C905="","",ROW()-1)</f>
        <v/>
      </c>
      <c r="B905" s="17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9" t="n"/>
      <c r="L905" s="19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7" t="n"/>
      <c r="V905" s="18" t="n"/>
      <c r="W905" s="20">
        <f>IF(U905="","",U905+Summary!$C$4)</f>
        <v/>
      </c>
      <c r="X905" s="16">
        <f>IF(OR(U905="",Y905="Removed",Y905="Deindexed only",Y905="No action needed"),"",TODAY()-U905)</f>
        <v/>
      </c>
      <c r="Y905" s="18" t="n"/>
      <c r="Z905" s="17" t="n"/>
      <c r="AA905" s="18" t="n"/>
      <c r="AB905" s="19" t="n"/>
    </row>
    <row r="906">
      <c r="A906" s="16">
        <f>IF(C906="","",ROW()-1)</f>
        <v/>
      </c>
      <c r="B906" s="17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9" t="n"/>
      <c r="L906" s="19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7" t="n"/>
      <c r="V906" s="18" t="n"/>
      <c r="W906" s="20">
        <f>IF(U906="","",U906+Summary!$C$4)</f>
        <v/>
      </c>
      <c r="X906" s="16">
        <f>IF(OR(U906="",Y906="Removed",Y906="Deindexed only",Y906="No action needed"),"",TODAY()-U906)</f>
        <v/>
      </c>
      <c r="Y906" s="18" t="n"/>
      <c r="Z906" s="17" t="n"/>
      <c r="AA906" s="18" t="n"/>
      <c r="AB906" s="19" t="n"/>
    </row>
    <row r="907">
      <c r="A907" s="16">
        <f>IF(C907="","",ROW()-1)</f>
        <v/>
      </c>
      <c r="B907" s="17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9" t="n"/>
      <c r="L907" s="19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7" t="n"/>
      <c r="V907" s="18" t="n"/>
      <c r="W907" s="20">
        <f>IF(U907="","",U907+Summary!$C$4)</f>
        <v/>
      </c>
      <c r="X907" s="16">
        <f>IF(OR(U907="",Y907="Removed",Y907="Deindexed only",Y907="No action needed"),"",TODAY()-U907)</f>
        <v/>
      </c>
      <c r="Y907" s="18" t="n"/>
      <c r="Z907" s="17" t="n"/>
      <c r="AA907" s="18" t="n"/>
      <c r="AB907" s="19" t="n"/>
    </row>
    <row r="908">
      <c r="A908" s="16">
        <f>IF(C908="","",ROW()-1)</f>
        <v/>
      </c>
      <c r="B908" s="17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9" t="n"/>
      <c r="L908" s="19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7" t="n"/>
      <c r="V908" s="18" t="n"/>
      <c r="W908" s="20">
        <f>IF(U908="","",U908+Summary!$C$4)</f>
        <v/>
      </c>
      <c r="X908" s="16">
        <f>IF(OR(U908="",Y908="Removed",Y908="Deindexed only",Y908="No action needed"),"",TODAY()-U908)</f>
        <v/>
      </c>
      <c r="Y908" s="18" t="n"/>
      <c r="Z908" s="17" t="n"/>
      <c r="AA908" s="18" t="n"/>
      <c r="AB908" s="19" t="n"/>
    </row>
    <row r="909">
      <c r="A909" s="16">
        <f>IF(C909="","",ROW()-1)</f>
        <v/>
      </c>
      <c r="B909" s="17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9" t="n"/>
      <c r="L909" s="19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7" t="n"/>
      <c r="V909" s="18" t="n"/>
      <c r="W909" s="20">
        <f>IF(U909="","",U909+Summary!$C$4)</f>
        <v/>
      </c>
      <c r="X909" s="16">
        <f>IF(OR(U909="",Y909="Removed",Y909="Deindexed only",Y909="No action needed"),"",TODAY()-U909)</f>
        <v/>
      </c>
      <c r="Y909" s="18" t="n"/>
      <c r="Z909" s="17" t="n"/>
      <c r="AA909" s="18" t="n"/>
      <c r="AB909" s="19" t="n"/>
    </row>
    <row r="910">
      <c r="A910" s="16">
        <f>IF(C910="","",ROW()-1)</f>
        <v/>
      </c>
      <c r="B910" s="17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9" t="n"/>
      <c r="L910" s="19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7" t="n"/>
      <c r="V910" s="18" t="n"/>
      <c r="W910" s="20">
        <f>IF(U910="","",U910+Summary!$C$4)</f>
        <v/>
      </c>
      <c r="X910" s="16">
        <f>IF(OR(U910="",Y910="Removed",Y910="Deindexed only",Y910="No action needed"),"",TODAY()-U910)</f>
        <v/>
      </c>
      <c r="Y910" s="18" t="n"/>
      <c r="Z910" s="17" t="n"/>
      <c r="AA910" s="18" t="n"/>
      <c r="AB910" s="19" t="n"/>
    </row>
    <row r="911">
      <c r="A911" s="16">
        <f>IF(C911="","",ROW()-1)</f>
        <v/>
      </c>
      <c r="B911" s="17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9" t="n"/>
      <c r="L911" s="19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7" t="n"/>
      <c r="V911" s="18" t="n"/>
      <c r="W911" s="20">
        <f>IF(U911="","",U911+Summary!$C$4)</f>
        <v/>
      </c>
      <c r="X911" s="16">
        <f>IF(OR(U911="",Y911="Removed",Y911="Deindexed only",Y911="No action needed"),"",TODAY()-U911)</f>
        <v/>
      </c>
      <c r="Y911" s="18" t="n"/>
      <c r="Z911" s="17" t="n"/>
      <c r="AA911" s="18" t="n"/>
      <c r="AB911" s="19" t="n"/>
    </row>
    <row r="912">
      <c r="A912" s="16">
        <f>IF(C912="","",ROW()-1)</f>
        <v/>
      </c>
      <c r="B912" s="17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9" t="n"/>
      <c r="L912" s="19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7" t="n"/>
      <c r="V912" s="18" t="n"/>
      <c r="W912" s="20">
        <f>IF(U912="","",U912+Summary!$C$4)</f>
        <v/>
      </c>
      <c r="X912" s="16">
        <f>IF(OR(U912="",Y912="Removed",Y912="Deindexed only",Y912="No action needed"),"",TODAY()-U912)</f>
        <v/>
      </c>
      <c r="Y912" s="18" t="n"/>
      <c r="Z912" s="17" t="n"/>
      <c r="AA912" s="18" t="n"/>
      <c r="AB912" s="19" t="n"/>
    </row>
    <row r="913">
      <c r="A913" s="16">
        <f>IF(C913="","",ROW()-1)</f>
        <v/>
      </c>
      <c r="B913" s="17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9" t="n"/>
      <c r="L913" s="19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7" t="n"/>
      <c r="V913" s="18" t="n"/>
      <c r="W913" s="20">
        <f>IF(U913="","",U913+Summary!$C$4)</f>
        <v/>
      </c>
      <c r="X913" s="16">
        <f>IF(OR(U913="",Y913="Removed",Y913="Deindexed only",Y913="No action needed"),"",TODAY()-U913)</f>
        <v/>
      </c>
      <c r="Y913" s="18" t="n"/>
      <c r="Z913" s="17" t="n"/>
      <c r="AA913" s="18" t="n"/>
      <c r="AB913" s="19" t="n"/>
    </row>
    <row r="914">
      <c r="A914" s="16">
        <f>IF(C914="","",ROW()-1)</f>
        <v/>
      </c>
      <c r="B914" s="17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9" t="n"/>
      <c r="L914" s="19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7" t="n"/>
      <c r="V914" s="18" t="n"/>
      <c r="W914" s="20">
        <f>IF(U914="","",U914+Summary!$C$4)</f>
        <v/>
      </c>
      <c r="X914" s="16">
        <f>IF(OR(U914="",Y914="Removed",Y914="Deindexed only",Y914="No action needed"),"",TODAY()-U914)</f>
        <v/>
      </c>
      <c r="Y914" s="18" t="n"/>
      <c r="Z914" s="17" t="n"/>
      <c r="AA914" s="18" t="n"/>
      <c r="AB914" s="19" t="n"/>
    </row>
    <row r="915">
      <c r="A915" s="16">
        <f>IF(C915="","",ROW()-1)</f>
        <v/>
      </c>
      <c r="B915" s="17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9" t="n"/>
      <c r="L915" s="19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7" t="n"/>
      <c r="V915" s="18" t="n"/>
      <c r="W915" s="20">
        <f>IF(U915="","",U915+Summary!$C$4)</f>
        <v/>
      </c>
      <c r="X915" s="16">
        <f>IF(OR(U915="",Y915="Removed",Y915="Deindexed only",Y915="No action needed"),"",TODAY()-U915)</f>
        <v/>
      </c>
      <c r="Y915" s="18" t="n"/>
      <c r="Z915" s="17" t="n"/>
      <c r="AA915" s="18" t="n"/>
      <c r="AB915" s="19" t="n"/>
    </row>
    <row r="916">
      <c r="A916" s="16">
        <f>IF(C916="","",ROW()-1)</f>
        <v/>
      </c>
      <c r="B916" s="17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9" t="n"/>
      <c r="L916" s="19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7" t="n"/>
      <c r="V916" s="18" t="n"/>
      <c r="W916" s="20">
        <f>IF(U916="","",U916+Summary!$C$4)</f>
        <v/>
      </c>
      <c r="X916" s="16">
        <f>IF(OR(U916="",Y916="Removed",Y916="Deindexed only",Y916="No action needed"),"",TODAY()-U916)</f>
        <v/>
      </c>
      <c r="Y916" s="18" t="n"/>
      <c r="Z916" s="17" t="n"/>
      <c r="AA916" s="18" t="n"/>
      <c r="AB916" s="19" t="n"/>
    </row>
    <row r="917">
      <c r="A917" s="16">
        <f>IF(C917="","",ROW()-1)</f>
        <v/>
      </c>
      <c r="B917" s="17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9" t="n"/>
      <c r="L917" s="19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7" t="n"/>
      <c r="V917" s="18" t="n"/>
      <c r="W917" s="20">
        <f>IF(U917="","",U917+Summary!$C$4)</f>
        <v/>
      </c>
      <c r="X917" s="16">
        <f>IF(OR(U917="",Y917="Removed",Y917="Deindexed only",Y917="No action needed"),"",TODAY()-U917)</f>
        <v/>
      </c>
      <c r="Y917" s="18" t="n"/>
      <c r="Z917" s="17" t="n"/>
      <c r="AA917" s="18" t="n"/>
      <c r="AB917" s="19" t="n"/>
    </row>
    <row r="918">
      <c r="A918" s="16">
        <f>IF(C918="","",ROW()-1)</f>
        <v/>
      </c>
      <c r="B918" s="17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9" t="n"/>
      <c r="L918" s="19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7" t="n"/>
      <c r="V918" s="18" t="n"/>
      <c r="W918" s="20">
        <f>IF(U918="","",U918+Summary!$C$4)</f>
        <v/>
      </c>
      <c r="X918" s="16">
        <f>IF(OR(U918="",Y918="Removed",Y918="Deindexed only",Y918="No action needed"),"",TODAY()-U918)</f>
        <v/>
      </c>
      <c r="Y918" s="18" t="n"/>
      <c r="Z918" s="17" t="n"/>
      <c r="AA918" s="18" t="n"/>
      <c r="AB918" s="19" t="n"/>
    </row>
    <row r="919">
      <c r="A919" s="16">
        <f>IF(C919="","",ROW()-1)</f>
        <v/>
      </c>
      <c r="B919" s="17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9" t="n"/>
      <c r="L919" s="19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7" t="n"/>
      <c r="V919" s="18" t="n"/>
      <c r="W919" s="20">
        <f>IF(U919="","",U919+Summary!$C$4)</f>
        <v/>
      </c>
      <c r="X919" s="16">
        <f>IF(OR(U919="",Y919="Removed",Y919="Deindexed only",Y919="No action needed"),"",TODAY()-U919)</f>
        <v/>
      </c>
      <c r="Y919" s="18" t="n"/>
      <c r="Z919" s="17" t="n"/>
      <c r="AA919" s="18" t="n"/>
      <c r="AB919" s="19" t="n"/>
    </row>
    <row r="920">
      <c r="A920" s="16">
        <f>IF(C920="","",ROW()-1)</f>
        <v/>
      </c>
      <c r="B920" s="17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9" t="n"/>
      <c r="L920" s="19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7" t="n"/>
      <c r="V920" s="18" t="n"/>
      <c r="W920" s="20">
        <f>IF(U920="","",U920+Summary!$C$4)</f>
        <v/>
      </c>
      <c r="X920" s="16">
        <f>IF(OR(U920="",Y920="Removed",Y920="Deindexed only",Y920="No action needed"),"",TODAY()-U920)</f>
        <v/>
      </c>
      <c r="Y920" s="18" t="n"/>
      <c r="Z920" s="17" t="n"/>
      <c r="AA920" s="18" t="n"/>
      <c r="AB920" s="19" t="n"/>
    </row>
    <row r="921">
      <c r="A921" s="16">
        <f>IF(C921="","",ROW()-1)</f>
        <v/>
      </c>
      <c r="B921" s="17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9" t="n"/>
      <c r="L921" s="19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7" t="n"/>
      <c r="V921" s="18" t="n"/>
      <c r="W921" s="20">
        <f>IF(U921="","",U921+Summary!$C$4)</f>
        <v/>
      </c>
      <c r="X921" s="16">
        <f>IF(OR(U921="",Y921="Removed",Y921="Deindexed only",Y921="No action needed"),"",TODAY()-U921)</f>
        <v/>
      </c>
      <c r="Y921" s="18" t="n"/>
      <c r="Z921" s="17" t="n"/>
      <c r="AA921" s="18" t="n"/>
      <c r="AB921" s="19" t="n"/>
    </row>
    <row r="922">
      <c r="A922" s="16">
        <f>IF(C922="","",ROW()-1)</f>
        <v/>
      </c>
      <c r="B922" s="17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9" t="n"/>
      <c r="L922" s="19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7" t="n"/>
      <c r="V922" s="18" t="n"/>
      <c r="W922" s="20">
        <f>IF(U922="","",U922+Summary!$C$4)</f>
        <v/>
      </c>
      <c r="X922" s="16">
        <f>IF(OR(U922="",Y922="Removed",Y922="Deindexed only",Y922="No action needed"),"",TODAY()-U922)</f>
        <v/>
      </c>
      <c r="Y922" s="18" t="n"/>
      <c r="Z922" s="17" t="n"/>
      <c r="AA922" s="18" t="n"/>
      <c r="AB922" s="19" t="n"/>
    </row>
    <row r="923">
      <c r="A923" s="16">
        <f>IF(C923="","",ROW()-1)</f>
        <v/>
      </c>
      <c r="B923" s="17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9" t="n"/>
      <c r="L923" s="19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7" t="n"/>
      <c r="V923" s="18" t="n"/>
      <c r="W923" s="20">
        <f>IF(U923="","",U923+Summary!$C$4)</f>
        <v/>
      </c>
      <c r="X923" s="16">
        <f>IF(OR(U923="",Y923="Removed",Y923="Deindexed only",Y923="No action needed"),"",TODAY()-U923)</f>
        <v/>
      </c>
      <c r="Y923" s="18" t="n"/>
      <c r="Z923" s="17" t="n"/>
      <c r="AA923" s="18" t="n"/>
      <c r="AB923" s="19" t="n"/>
    </row>
    <row r="924">
      <c r="A924" s="16">
        <f>IF(C924="","",ROW()-1)</f>
        <v/>
      </c>
      <c r="B924" s="17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9" t="n"/>
      <c r="L924" s="19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7" t="n"/>
      <c r="V924" s="18" t="n"/>
      <c r="W924" s="20">
        <f>IF(U924="","",U924+Summary!$C$4)</f>
        <v/>
      </c>
      <c r="X924" s="16">
        <f>IF(OR(U924="",Y924="Removed",Y924="Deindexed only",Y924="No action needed"),"",TODAY()-U924)</f>
        <v/>
      </c>
      <c r="Y924" s="18" t="n"/>
      <c r="Z924" s="17" t="n"/>
      <c r="AA924" s="18" t="n"/>
      <c r="AB924" s="19" t="n"/>
    </row>
    <row r="925">
      <c r="A925" s="16">
        <f>IF(C925="","",ROW()-1)</f>
        <v/>
      </c>
      <c r="B925" s="17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9" t="n"/>
      <c r="L925" s="19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7" t="n"/>
      <c r="V925" s="18" t="n"/>
      <c r="W925" s="20">
        <f>IF(U925="","",U925+Summary!$C$4)</f>
        <v/>
      </c>
      <c r="X925" s="16">
        <f>IF(OR(U925="",Y925="Removed",Y925="Deindexed only",Y925="No action needed"),"",TODAY()-U925)</f>
        <v/>
      </c>
      <c r="Y925" s="18" t="n"/>
      <c r="Z925" s="17" t="n"/>
      <c r="AA925" s="18" t="n"/>
      <c r="AB925" s="19" t="n"/>
    </row>
    <row r="926">
      <c r="A926" s="16">
        <f>IF(C926="","",ROW()-1)</f>
        <v/>
      </c>
      <c r="B926" s="17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9" t="n"/>
      <c r="L926" s="19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7" t="n"/>
      <c r="V926" s="18" t="n"/>
      <c r="W926" s="20">
        <f>IF(U926="","",U926+Summary!$C$4)</f>
        <v/>
      </c>
      <c r="X926" s="16">
        <f>IF(OR(U926="",Y926="Removed",Y926="Deindexed only",Y926="No action needed"),"",TODAY()-U926)</f>
        <v/>
      </c>
      <c r="Y926" s="18" t="n"/>
      <c r="Z926" s="17" t="n"/>
      <c r="AA926" s="18" t="n"/>
      <c r="AB926" s="19" t="n"/>
    </row>
    <row r="927">
      <c r="A927" s="16">
        <f>IF(C927="","",ROW()-1)</f>
        <v/>
      </c>
      <c r="B927" s="17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9" t="n"/>
      <c r="L927" s="19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7" t="n"/>
      <c r="V927" s="18" t="n"/>
      <c r="W927" s="20">
        <f>IF(U927="","",U927+Summary!$C$4)</f>
        <v/>
      </c>
      <c r="X927" s="16">
        <f>IF(OR(U927="",Y927="Removed",Y927="Deindexed only",Y927="No action needed"),"",TODAY()-U927)</f>
        <v/>
      </c>
      <c r="Y927" s="18" t="n"/>
      <c r="Z927" s="17" t="n"/>
      <c r="AA927" s="18" t="n"/>
      <c r="AB927" s="19" t="n"/>
    </row>
    <row r="928">
      <c r="A928" s="16">
        <f>IF(C928="","",ROW()-1)</f>
        <v/>
      </c>
      <c r="B928" s="17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9" t="n"/>
      <c r="L928" s="19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7" t="n"/>
      <c r="V928" s="18" t="n"/>
      <c r="W928" s="20">
        <f>IF(U928="","",U928+Summary!$C$4)</f>
        <v/>
      </c>
      <c r="X928" s="16">
        <f>IF(OR(U928="",Y928="Removed",Y928="Deindexed only",Y928="No action needed"),"",TODAY()-U928)</f>
        <v/>
      </c>
      <c r="Y928" s="18" t="n"/>
      <c r="Z928" s="17" t="n"/>
      <c r="AA928" s="18" t="n"/>
      <c r="AB928" s="19" t="n"/>
    </row>
    <row r="929">
      <c r="A929" s="16">
        <f>IF(C929="","",ROW()-1)</f>
        <v/>
      </c>
      <c r="B929" s="17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9" t="n"/>
      <c r="L929" s="19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7" t="n"/>
      <c r="V929" s="18" t="n"/>
      <c r="W929" s="20">
        <f>IF(U929="","",U929+Summary!$C$4)</f>
        <v/>
      </c>
      <c r="X929" s="16">
        <f>IF(OR(U929="",Y929="Removed",Y929="Deindexed only",Y929="No action needed"),"",TODAY()-U929)</f>
        <v/>
      </c>
      <c r="Y929" s="18" t="n"/>
      <c r="Z929" s="17" t="n"/>
      <c r="AA929" s="18" t="n"/>
      <c r="AB929" s="19" t="n"/>
    </row>
    <row r="930">
      <c r="A930" s="16">
        <f>IF(C930="","",ROW()-1)</f>
        <v/>
      </c>
      <c r="B930" s="17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9" t="n"/>
      <c r="L930" s="19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7" t="n"/>
      <c r="V930" s="18" t="n"/>
      <c r="W930" s="20">
        <f>IF(U930="","",U930+Summary!$C$4)</f>
        <v/>
      </c>
      <c r="X930" s="16">
        <f>IF(OR(U930="",Y930="Removed",Y930="Deindexed only",Y930="No action needed"),"",TODAY()-U930)</f>
        <v/>
      </c>
      <c r="Y930" s="18" t="n"/>
      <c r="Z930" s="17" t="n"/>
      <c r="AA930" s="18" t="n"/>
      <c r="AB930" s="19" t="n"/>
    </row>
    <row r="931">
      <c r="A931" s="16">
        <f>IF(C931="","",ROW()-1)</f>
        <v/>
      </c>
      <c r="B931" s="17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9" t="n"/>
      <c r="L931" s="19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7" t="n"/>
      <c r="V931" s="18" t="n"/>
      <c r="W931" s="20">
        <f>IF(U931="","",U931+Summary!$C$4)</f>
        <v/>
      </c>
      <c r="X931" s="16">
        <f>IF(OR(U931="",Y931="Removed",Y931="Deindexed only",Y931="No action needed"),"",TODAY()-U931)</f>
        <v/>
      </c>
      <c r="Y931" s="18" t="n"/>
      <c r="Z931" s="17" t="n"/>
      <c r="AA931" s="18" t="n"/>
      <c r="AB931" s="19" t="n"/>
    </row>
    <row r="932">
      <c r="A932" s="16">
        <f>IF(C932="","",ROW()-1)</f>
        <v/>
      </c>
      <c r="B932" s="17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9" t="n"/>
      <c r="L932" s="19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7" t="n"/>
      <c r="V932" s="18" t="n"/>
      <c r="W932" s="20">
        <f>IF(U932="","",U932+Summary!$C$4)</f>
        <v/>
      </c>
      <c r="X932" s="16">
        <f>IF(OR(U932="",Y932="Removed",Y932="Deindexed only",Y932="No action needed"),"",TODAY()-U932)</f>
        <v/>
      </c>
      <c r="Y932" s="18" t="n"/>
      <c r="Z932" s="17" t="n"/>
      <c r="AA932" s="18" t="n"/>
      <c r="AB932" s="19" t="n"/>
    </row>
    <row r="933">
      <c r="A933" s="16">
        <f>IF(C933="","",ROW()-1)</f>
        <v/>
      </c>
      <c r="B933" s="17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9" t="n"/>
      <c r="L933" s="19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7" t="n"/>
      <c r="V933" s="18" t="n"/>
      <c r="W933" s="20">
        <f>IF(U933="","",U933+Summary!$C$4)</f>
        <v/>
      </c>
      <c r="X933" s="16">
        <f>IF(OR(U933="",Y933="Removed",Y933="Deindexed only",Y933="No action needed"),"",TODAY()-U933)</f>
        <v/>
      </c>
      <c r="Y933" s="18" t="n"/>
      <c r="Z933" s="17" t="n"/>
      <c r="AA933" s="18" t="n"/>
      <c r="AB933" s="19" t="n"/>
    </row>
    <row r="934">
      <c r="A934" s="16">
        <f>IF(C934="","",ROW()-1)</f>
        <v/>
      </c>
      <c r="B934" s="17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9" t="n"/>
      <c r="L934" s="19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7" t="n"/>
      <c r="V934" s="18" t="n"/>
      <c r="W934" s="20">
        <f>IF(U934="","",U934+Summary!$C$4)</f>
        <v/>
      </c>
      <c r="X934" s="16">
        <f>IF(OR(U934="",Y934="Removed",Y934="Deindexed only",Y934="No action needed"),"",TODAY()-U934)</f>
        <v/>
      </c>
      <c r="Y934" s="18" t="n"/>
      <c r="Z934" s="17" t="n"/>
      <c r="AA934" s="18" t="n"/>
      <c r="AB934" s="19" t="n"/>
    </row>
    <row r="935">
      <c r="A935" s="16">
        <f>IF(C935="","",ROW()-1)</f>
        <v/>
      </c>
      <c r="B935" s="17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9" t="n"/>
      <c r="L935" s="19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7" t="n"/>
      <c r="V935" s="18" t="n"/>
      <c r="W935" s="20">
        <f>IF(U935="","",U935+Summary!$C$4)</f>
        <v/>
      </c>
      <c r="X935" s="16">
        <f>IF(OR(U935="",Y935="Removed",Y935="Deindexed only",Y935="No action needed"),"",TODAY()-U935)</f>
        <v/>
      </c>
      <c r="Y935" s="18" t="n"/>
      <c r="Z935" s="17" t="n"/>
      <c r="AA935" s="18" t="n"/>
      <c r="AB935" s="19" t="n"/>
    </row>
    <row r="936">
      <c r="A936" s="16">
        <f>IF(C936="","",ROW()-1)</f>
        <v/>
      </c>
      <c r="B936" s="17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9" t="n"/>
      <c r="L936" s="19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7" t="n"/>
      <c r="V936" s="18" t="n"/>
      <c r="W936" s="20">
        <f>IF(U936="","",U936+Summary!$C$4)</f>
        <v/>
      </c>
      <c r="X936" s="16">
        <f>IF(OR(U936="",Y936="Removed",Y936="Deindexed only",Y936="No action needed"),"",TODAY()-U936)</f>
        <v/>
      </c>
      <c r="Y936" s="18" t="n"/>
      <c r="Z936" s="17" t="n"/>
      <c r="AA936" s="18" t="n"/>
      <c r="AB936" s="19" t="n"/>
    </row>
    <row r="937">
      <c r="A937" s="16">
        <f>IF(C937="","",ROW()-1)</f>
        <v/>
      </c>
      <c r="B937" s="17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9" t="n"/>
      <c r="L937" s="19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7" t="n"/>
      <c r="V937" s="18" t="n"/>
      <c r="W937" s="20">
        <f>IF(U937="","",U937+Summary!$C$4)</f>
        <v/>
      </c>
      <c r="X937" s="16">
        <f>IF(OR(U937="",Y937="Removed",Y937="Deindexed only",Y937="No action needed"),"",TODAY()-U937)</f>
        <v/>
      </c>
      <c r="Y937" s="18" t="n"/>
      <c r="Z937" s="17" t="n"/>
      <c r="AA937" s="18" t="n"/>
      <c r="AB937" s="19" t="n"/>
    </row>
    <row r="938">
      <c r="A938" s="16">
        <f>IF(C938="","",ROW()-1)</f>
        <v/>
      </c>
      <c r="B938" s="17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9" t="n"/>
      <c r="L938" s="19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7" t="n"/>
      <c r="V938" s="18" t="n"/>
      <c r="W938" s="20">
        <f>IF(U938="","",U938+Summary!$C$4)</f>
        <v/>
      </c>
      <c r="X938" s="16">
        <f>IF(OR(U938="",Y938="Removed",Y938="Deindexed only",Y938="No action needed"),"",TODAY()-U938)</f>
        <v/>
      </c>
      <c r="Y938" s="18" t="n"/>
      <c r="Z938" s="17" t="n"/>
      <c r="AA938" s="18" t="n"/>
      <c r="AB938" s="19" t="n"/>
    </row>
    <row r="939">
      <c r="A939" s="16">
        <f>IF(C939="","",ROW()-1)</f>
        <v/>
      </c>
      <c r="B939" s="17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9" t="n"/>
      <c r="L939" s="19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7" t="n"/>
      <c r="V939" s="18" t="n"/>
      <c r="W939" s="20">
        <f>IF(U939="","",U939+Summary!$C$4)</f>
        <v/>
      </c>
      <c r="X939" s="16">
        <f>IF(OR(U939="",Y939="Removed",Y939="Deindexed only",Y939="No action needed"),"",TODAY()-U939)</f>
        <v/>
      </c>
      <c r="Y939" s="18" t="n"/>
      <c r="Z939" s="17" t="n"/>
      <c r="AA939" s="18" t="n"/>
      <c r="AB939" s="19" t="n"/>
    </row>
    <row r="940">
      <c r="A940" s="16">
        <f>IF(C940="","",ROW()-1)</f>
        <v/>
      </c>
      <c r="B940" s="17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9" t="n"/>
      <c r="L940" s="19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7" t="n"/>
      <c r="V940" s="18" t="n"/>
      <c r="W940" s="20">
        <f>IF(U940="","",U940+Summary!$C$4)</f>
        <v/>
      </c>
      <c r="X940" s="16">
        <f>IF(OR(U940="",Y940="Removed",Y940="Deindexed only",Y940="No action needed"),"",TODAY()-U940)</f>
        <v/>
      </c>
      <c r="Y940" s="18" t="n"/>
      <c r="Z940" s="17" t="n"/>
      <c r="AA940" s="18" t="n"/>
      <c r="AB940" s="19" t="n"/>
    </row>
    <row r="941">
      <c r="A941" s="16">
        <f>IF(C941="","",ROW()-1)</f>
        <v/>
      </c>
      <c r="B941" s="17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9" t="n"/>
      <c r="L941" s="19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7" t="n"/>
      <c r="V941" s="18" t="n"/>
      <c r="W941" s="20">
        <f>IF(U941="","",U941+Summary!$C$4)</f>
        <v/>
      </c>
      <c r="X941" s="16">
        <f>IF(OR(U941="",Y941="Removed",Y941="Deindexed only",Y941="No action needed"),"",TODAY()-U941)</f>
        <v/>
      </c>
      <c r="Y941" s="18" t="n"/>
      <c r="Z941" s="17" t="n"/>
      <c r="AA941" s="18" t="n"/>
      <c r="AB941" s="19" t="n"/>
    </row>
    <row r="942">
      <c r="A942" s="16">
        <f>IF(C942="","",ROW()-1)</f>
        <v/>
      </c>
      <c r="B942" s="17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9" t="n"/>
      <c r="L942" s="19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7" t="n"/>
      <c r="V942" s="18" t="n"/>
      <c r="W942" s="20">
        <f>IF(U942="","",U942+Summary!$C$4)</f>
        <v/>
      </c>
      <c r="X942" s="16">
        <f>IF(OR(U942="",Y942="Removed",Y942="Deindexed only",Y942="No action needed"),"",TODAY()-U942)</f>
        <v/>
      </c>
      <c r="Y942" s="18" t="n"/>
      <c r="Z942" s="17" t="n"/>
      <c r="AA942" s="18" t="n"/>
      <c r="AB942" s="19" t="n"/>
    </row>
    <row r="943">
      <c r="A943" s="16">
        <f>IF(C943="","",ROW()-1)</f>
        <v/>
      </c>
      <c r="B943" s="17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9" t="n"/>
      <c r="L943" s="19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7" t="n"/>
      <c r="V943" s="18" t="n"/>
      <c r="W943" s="20">
        <f>IF(U943="","",U943+Summary!$C$4)</f>
        <v/>
      </c>
      <c r="X943" s="16">
        <f>IF(OR(U943="",Y943="Removed",Y943="Deindexed only",Y943="No action needed"),"",TODAY()-U943)</f>
        <v/>
      </c>
      <c r="Y943" s="18" t="n"/>
      <c r="Z943" s="17" t="n"/>
      <c r="AA943" s="18" t="n"/>
      <c r="AB943" s="19" t="n"/>
    </row>
    <row r="944">
      <c r="A944" s="16">
        <f>IF(C944="","",ROW()-1)</f>
        <v/>
      </c>
      <c r="B944" s="17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9" t="n"/>
      <c r="L944" s="19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7" t="n"/>
      <c r="V944" s="18" t="n"/>
      <c r="W944" s="20">
        <f>IF(U944="","",U944+Summary!$C$4)</f>
        <v/>
      </c>
      <c r="X944" s="16">
        <f>IF(OR(U944="",Y944="Removed",Y944="Deindexed only",Y944="No action needed"),"",TODAY()-U944)</f>
        <v/>
      </c>
      <c r="Y944" s="18" t="n"/>
      <c r="Z944" s="17" t="n"/>
      <c r="AA944" s="18" t="n"/>
      <c r="AB944" s="19" t="n"/>
    </row>
    <row r="945">
      <c r="A945" s="16">
        <f>IF(C945="","",ROW()-1)</f>
        <v/>
      </c>
      <c r="B945" s="17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9" t="n"/>
      <c r="L945" s="19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7" t="n"/>
      <c r="V945" s="18" t="n"/>
      <c r="W945" s="20">
        <f>IF(U945="","",U945+Summary!$C$4)</f>
        <v/>
      </c>
      <c r="X945" s="16">
        <f>IF(OR(U945="",Y945="Removed",Y945="Deindexed only",Y945="No action needed"),"",TODAY()-U945)</f>
        <v/>
      </c>
      <c r="Y945" s="18" t="n"/>
      <c r="Z945" s="17" t="n"/>
      <c r="AA945" s="18" t="n"/>
      <c r="AB945" s="19" t="n"/>
    </row>
    <row r="946">
      <c r="A946" s="16">
        <f>IF(C946="","",ROW()-1)</f>
        <v/>
      </c>
      <c r="B946" s="17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9" t="n"/>
      <c r="L946" s="19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7" t="n"/>
      <c r="V946" s="18" t="n"/>
      <c r="W946" s="20">
        <f>IF(U946="","",U946+Summary!$C$4)</f>
        <v/>
      </c>
      <c r="X946" s="16">
        <f>IF(OR(U946="",Y946="Removed",Y946="Deindexed only",Y946="No action needed"),"",TODAY()-U946)</f>
        <v/>
      </c>
      <c r="Y946" s="18" t="n"/>
      <c r="Z946" s="17" t="n"/>
      <c r="AA946" s="18" t="n"/>
      <c r="AB946" s="19" t="n"/>
    </row>
    <row r="947">
      <c r="A947" s="16">
        <f>IF(C947="","",ROW()-1)</f>
        <v/>
      </c>
      <c r="B947" s="17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9" t="n"/>
      <c r="L947" s="19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7" t="n"/>
      <c r="V947" s="18" t="n"/>
      <c r="W947" s="20">
        <f>IF(U947="","",U947+Summary!$C$4)</f>
        <v/>
      </c>
      <c r="X947" s="16">
        <f>IF(OR(U947="",Y947="Removed",Y947="Deindexed only",Y947="No action needed"),"",TODAY()-U947)</f>
        <v/>
      </c>
      <c r="Y947" s="18" t="n"/>
      <c r="Z947" s="17" t="n"/>
      <c r="AA947" s="18" t="n"/>
      <c r="AB947" s="19" t="n"/>
    </row>
    <row r="948">
      <c r="A948" s="16">
        <f>IF(C948="","",ROW()-1)</f>
        <v/>
      </c>
      <c r="B948" s="17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9" t="n"/>
      <c r="L948" s="19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7" t="n"/>
      <c r="V948" s="18" t="n"/>
      <c r="W948" s="20">
        <f>IF(U948="","",U948+Summary!$C$4)</f>
        <v/>
      </c>
      <c r="X948" s="16">
        <f>IF(OR(U948="",Y948="Removed",Y948="Deindexed only",Y948="No action needed"),"",TODAY()-U948)</f>
        <v/>
      </c>
      <c r="Y948" s="18" t="n"/>
      <c r="Z948" s="17" t="n"/>
      <c r="AA948" s="18" t="n"/>
      <c r="AB948" s="19" t="n"/>
    </row>
    <row r="949">
      <c r="A949" s="16">
        <f>IF(C949="","",ROW()-1)</f>
        <v/>
      </c>
      <c r="B949" s="17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9" t="n"/>
      <c r="L949" s="19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7" t="n"/>
      <c r="V949" s="18" t="n"/>
      <c r="W949" s="20">
        <f>IF(U949="","",U949+Summary!$C$4)</f>
        <v/>
      </c>
      <c r="X949" s="16">
        <f>IF(OR(U949="",Y949="Removed",Y949="Deindexed only",Y949="No action needed"),"",TODAY()-U949)</f>
        <v/>
      </c>
      <c r="Y949" s="18" t="n"/>
      <c r="Z949" s="17" t="n"/>
      <c r="AA949" s="18" t="n"/>
      <c r="AB949" s="19" t="n"/>
    </row>
    <row r="950">
      <c r="A950" s="16">
        <f>IF(C950="","",ROW()-1)</f>
        <v/>
      </c>
      <c r="B950" s="17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9" t="n"/>
      <c r="L950" s="19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7" t="n"/>
      <c r="V950" s="18" t="n"/>
      <c r="W950" s="20">
        <f>IF(U950="","",U950+Summary!$C$4)</f>
        <v/>
      </c>
      <c r="X950" s="16">
        <f>IF(OR(U950="",Y950="Removed",Y950="Deindexed only",Y950="No action needed"),"",TODAY()-U950)</f>
        <v/>
      </c>
      <c r="Y950" s="18" t="n"/>
      <c r="Z950" s="17" t="n"/>
      <c r="AA950" s="18" t="n"/>
      <c r="AB950" s="19" t="n"/>
    </row>
    <row r="951">
      <c r="A951" s="16">
        <f>IF(C951="","",ROW()-1)</f>
        <v/>
      </c>
      <c r="B951" s="17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9" t="n"/>
      <c r="L951" s="19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7" t="n"/>
      <c r="V951" s="18" t="n"/>
      <c r="W951" s="20">
        <f>IF(U951="","",U951+Summary!$C$4)</f>
        <v/>
      </c>
      <c r="X951" s="16">
        <f>IF(OR(U951="",Y951="Removed",Y951="Deindexed only",Y951="No action needed"),"",TODAY()-U951)</f>
        <v/>
      </c>
      <c r="Y951" s="18" t="n"/>
      <c r="Z951" s="17" t="n"/>
      <c r="AA951" s="18" t="n"/>
      <c r="AB951" s="19" t="n"/>
    </row>
    <row r="952">
      <c r="A952" s="16">
        <f>IF(C952="","",ROW()-1)</f>
        <v/>
      </c>
      <c r="B952" s="17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9" t="n"/>
      <c r="L952" s="19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7" t="n"/>
      <c r="V952" s="18" t="n"/>
      <c r="W952" s="20">
        <f>IF(U952="","",U952+Summary!$C$4)</f>
        <v/>
      </c>
      <c r="X952" s="16">
        <f>IF(OR(U952="",Y952="Removed",Y952="Deindexed only",Y952="No action needed"),"",TODAY()-U952)</f>
        <v/>
      </c>
      <c r="Y952" s="18" t="n"/>
      <c r="Z952" s="17" t="n"/>
      <c r="AA952" s="18" t="n"/>
      <c r="AB952" s="19" t="n"/>
    </row>
    <row r="953">
      <c r="A953" s="16">
        <f>IF(C953="","",ROW()-1)</f>
        <v/>
      </c>
      <c r="B953" s="17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9" t="n"/>
      <c r="L953" s="19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7" t="n"/>
      <c r="V953" s="18" t="n"/>
      <c r="W953" s="20">
        <f>IF(U953="","",U953+Summary!$C$4)</f>
        <v/>
      </c>
      <c r="X953" s="16">
        <f>IF(OR(U953="",Y953="Removed",Y953="Deindexed only",Y953="No action needed"),"",TODAY()-U953)</f>
        <v/>
      </c>
      <c r="Y953" s="18" t="n"/>
      <c r="Z953" s="17" t="n"/>
      <c r="AA953" s="18" t="n"/>
      <c r="AB953" s="19" t="n"/>
    </row>
    <row r="954">
      <c r="A954" s="16">
        <f>IF(C954="","",ROW()-1)</f>
        <v/>
      </c>
      <c r="B954" s="17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9" t="n"/>
      <c r="L954" s="19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7" t="n"/>
      <c r="V954" s="18" t="n"/>
      <c r="W954" s="20">
        <f>IF(U954="","",U954+Summary!$C$4)</f>
        <v/>
      </c>
      <c r="X954" s="16">
        <f>IF(OR(U954="",Y954="Removed",Y954="Deindexed only",Y954="No action needed"),"",TODAY()-U954)</f>
        <v/>
      </c>
      <c r="Y954" s="18" t="n"/>
      <c r="Z954" s="17" t="n"/>
      <c r="AA954" s="18" t="n"/>
      <c r="AB954" s="19" t="n"/>
    </row>
    <row r="955">
      <c r="A955" s="16">
        <f>IF(C955="","",ROW()-1)</f>
        <v/>
      </c>
      <c r="B955" s="17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9" t="n"/>
      <c r="L955" s="19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7" t="n"/>
      <c r="V955" s="18" t="n"/>
      <c r="W955" s="20">
        <f>IF(U955="","",U955+Summary!$C$4)</f>
        <v/>
      </c>
      <c r="X955" s="16">
        <f>IF(OR(U955="",Y955="Removed",Y955="Deindexed only",Y955="No action needed"),"",TODAY()-U955)</f>
        <v/>
      </c>
      <c r="Y955" s="18" t="n"/>
      <c r="Z955" s="17" t="n"/>
      <c r="AA955" s="18" t="n"/>
      <c r="AB955" s="19" t="n"/>
    </row>
    <row r="956">
      <c r="A956" s="16">
        <f>IF(C956="","",ROW()-1)</f>
        <v/>
      </c>
      <c r="B956" s="17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9" t="n"/>
      <c r="L956" s="19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7" t="n"/>
      <c r="V956" s="18" t="n"/>
      <c r="W956" s="20">
        <f>IF(U956="","",U956+Summary!$C$4)</f>
        <v/>
      </c>
      <c r="X956" s="16">
        <f>IF(OR(U956="",Y956="Removed",Y956="Deindexed only",Y956="No action needed"),"",TODAY()-U956)</f>
        <v/>
      </c>
      <c r="Y956" s="18" t="n"/>
      <c r="Z956" s="17" t="n"/>
      <c r="AA956" s="18" t="n"/>
      <c r="AB956" s="19" t="n"/>
    </row>
    <row r="957">
      <c r="A957" s="16">
        <f>IF(C957="","",ROW()-1)</f>
        <v/>
      </c>
      <c r="B957" s="17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9" t="n"/>
      <c r="L957" s="19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7" t="n"/>
      <c r="V957" s="18" t="n"/>
      <c r="W957" s="20">
        <f>IF(U957="","",U957+Summary!$C$4)</f>
        <v/>
      </c>
      <c r="X957" s="16">
        <f>IF(OR(U957="",Y957="Removed",Y957="Deindexed only",Y957="No action needed"),"",TODAY()-U957)</f>
        <v/>
      </c>
      <c r="Y957" s="18" t="n"/>
      <c r="Z957" s="17" t="n"/>
      <c r="AA957" s="18" t="n"/>
      <c r="AB957" s="19" t="n"/>
    </row>
    <row r="958">
      <c r="A958" s="16">
        <f>IF(C958="","",ROW()-1)</f>
        <v/>
      </c>
      <c r="B958" s="17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9" t="n"/>
      <c r="L958" s="19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7" t="n"/>
      <c r="V958" s="18" t="n"/>
      <c r="W958" s="20">
        <f>IF(U958="","",U958+Summary!$C$4)</f>
        <v/>
      </c>
      <c r="X958" s="16">
        <f>IF(OR(U958="",Y958="Removed",Y958="Deindexed only",Y958="No action needed"),"",TODAY()-U958)</f>
        <v/>
      </c>
      <c r="Y958" s="18" t="n"/>
      <c r="Z958" s="17" t="n"/>
      <c r="AA958" s="18" t="n"/>
      <c r="AB958" s="19" t="n"/>
    </row>
    <row r="959">
      <c r="A959" s="16">
        <f>IF(C959="","",ROW()-1)</f>
        <v/>
      </c>
      <c r="B959" s="17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9" t="n"/>
      <c r="L959" s="19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7" t="n"/>
      <c r="V959" s="18" t="n"/>
      <c r="W959" s="20">
        <f>IF(U959="","",U959+Summary!$C$4)</f>
        <v/>
      </c>
      <c r="X959" s="16">
        <f>IF(OR(U959="",Y959="Removed",Y959="Deindexed only",Y959="No action needed"),"",TODAY()-U959)</f>
        <v/>
      </c>
      <c r="Y959" s="18" t="n"/>
      <c r="Z959" s="17" t="n"/>
      <c r="AA959" s="18" t="n"/>
      <c r="AB959" s="19" t="n"/>
    </row>
    <row r="960">
      <c r="A960" s="16">
        <f>IF(C960="","",ROW()-1)</f>
        <v/>
      </c>
      <c r="B960" s="17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9" t="n"/>
      <c r="L960" s="19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7" t="n"/>
      <c r="V960" s="18" t="n"/>
      <c r="W960" s="20">
        <f>IF(U960="","",U960+Summary!$C$4)</f>
        <v/>
      </c>
      <c r="X960" s="16">
        <f>IF(OR(U960="",Y960="Removed",Y960="Deindexed only",Y960="No action needed"),"",TODAY()-U960)</f>
        <v/>
      </c>
      <c r="Y960" s="18" t="n"/>
      <c r="Z960" s="17" t="n"/>
      <c r="AA960" s="18" t="n"/>
      <c r="AB960" s="19" t="n"/>
    </row>
    <row r="961">
      <c r="A961" s="16">
        <f>IF(C961="","",ROW()-1)</f>
        <v/>
      </c>
      <c r="B961" s="17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9" t="n"/>
      <c r="L961" s="19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7" t="n"/>
      <c r="V961" s="18" t="n"/>
      <c r="W961" s="20">
        <f>IF(U961="","",U961+Summary!$C$4)</f>
        <v/>
      </c>
      <c r="X961" s="16">
        <f>IF(OR(U961="",Y961="Removed",Y961="Deindexed only",Y961="No action needed"),"",TODAY()-U961)</f>
        <v/>
      </c>
      <c r="Y961" s="18" t="n"/>
      <c r="Z961" s="17" t="n"/>
      <c r="AA961" s="18" t="n"/>
      <c r="AB961" s="19" t="n"/>
    </row>
    <row r="962">
      <c r="A962" s="16">
        <f>IF(C962="","",ROW()-1)</f>
        <v/>
      </c>
      <c r="B962" s="17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9" t="n"/>
      <c r="L962" s="19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7" t="n"/>
      <c r="V962" s="18" t="n"/>
      <c r="W962" s="20">
        <f>IF(U962="","",U962+Summary!$C$4)</f>
        <v/>
      </c>
      <c r="X962" s="16">
        <f>IF(OR(U962="",Y962="Removed",Y962="Deindexed only",Y962="No action needed"),"",TODAY()-U962)</f>
        <v/>
      </c>
      <c r="Y962" s="18" t="n"/>
      <c r="Z962" s="17" t="n"/>
      <c r="AA962" s="18" t="n"/>
      <c r="AB962" s="19" t="n"/>
    </row>
    <row r="963">
      <c r="A963" s="16">
        <f>IF(C963="","",ROW()-1)</f>
        <v/>
      </c>
      <c r="B963" s="17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9" t="n"/>
      <c r="L963" s="19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7" t="n"/>
      <c r="V963" s="18" t="n"/>
      <c r="W963" s="20">
        <f>IF(U963="","",U963+Summary!$C$4)</f>
        <v/>
      </c>
      <c r="X963" s="16">
        <f>IF(OR(U963="",Y963="Removed",Y963="Deindexed only",Y963="No action needed"),"",TODAY()-U963)</f>
        <v/>
      </c>
      <c r="Y963" s="18" t="n"/>
      <c r="Z963" s="17" t="n"/>
      <c r="AA963" s="18" t="n"/>
      <c r="AB963" s="19" t="n"/>
    </row>
    <row r="964">
      <c r="A964" s="16">
        <f>IF(C964="","",ROW()-1)</f>
        <v/>
      </c>
      <c r="B964" s="17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9" t="n"/>
      <c r="L964" s="19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7" t="n"/>
      <c r="V964" s="18" t="n"/>
      <c r="W964" s="20">
        <f>IF(U964="","",U964+Summary!$C$4)</f>
        <v/>
      </c>
      <c r="X964" s="16">
        <f>IF(OR(U964="",Y964="Removed",Y964="Deindexed only",Y964="No action needed"),"",TODAY()-U964)</f>
        <v/>
      </c>
      <c r="Y964" s="18" t="n"/>
      <c r="Z964" s="17" t="n"/>
      <c r="AA964" s="18" t="n"/>
      <c r="AB964" s="19" t="n"/>
    </row>
    <row r="965">
      <c r="A965" s="16">
        <f>IF(C965="","",ROW()-1)</f>
        <v/>
      </c>
      <c r="B965" s="17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9" t="n"/>
      <c r="L965" s="19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7" t="n"/>
      <c r="V965" s="18" t="n"/>
      <c r="W965" s="20">
        <f>IF(U965="","",U965+Summary!$C$4)</f>
        <v/>
      </c>
      <c r="X965" s="16">
        <f>IF(OR(U965="",Y965="Removed",Y965="Deindexed only",Y965="No action needed"),"",TODAY()-U965)</f>
        <v/>
      </c>
      <c r="Y965" s="18" t="n"/>
      <c r="Z965" s="17" t="n"/>
      <c r="AA965" s="18" t="n"/>
      <c r="AB965" s="19" t="n"/>
    </row>
    <row r="966">
      <c r="A966" s="16">
        <f>IF(C966="","",ROW()-1)</f>
        <v/>
      </c>
      <c r="B966" s="17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9" t="n"/>
      <c r="L966" s="19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7" t="n"/>
      <c r="V966" s="18" t="n"/>
      <c r="W966" s="20">
        <f>IF(U966="","",U966+Summary!$C$4)</f>
        <v/>
      </c>
      <c r="X966" s="16">
        <f>IF(OR(U966="",Y966="Removed",Y966="Deindexed only",Y966="No action needed"),"",TODAY()-U966)</f>
        <v/>
      </c>
      <c r="Y966" s="18" t="n"/>
      <c r="Z966" s="17" t="n"/>
      <c r="AA966" s="18" t="n"/>
      <c r="AB966" s="19" t="n"/>
    </row>
    <row r="967">
      <c r="A967" s="16">
        <f>IF(C967="","",ROW()-1)</f>
        <v/>
      </c>
      <c r="B967" s="17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9" t="n"/>
      <c r="L967" s="19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7" t="n"/>
      <c r="V967" s="18" t="n"/>
      <c r="W967" s="20">
        <f>IF(U967="","",U967+Summary!$C$4)</f>
        <v/>
      </c>
      <c r="X967" s="16">
        <f>IF(OR(U967="",Y967="Removed",Y967="Deindexed only",Y967="No action needed"),"",TODAY()-U967)</f>
        <v/>
      </c>
      <c r="Y967" s="18" t="n"/>
      <c r="Z967" s="17" t="n"/>
      <c r="AA967" s="18" t="n"/>
      <c r="AB967" s="19" t="n"/>
    </row>
    <row r="968">
      <c r="A968" s="16">
        <f>IF(C968="","",ROW()-1)</f>
        <v/>
      </c>
      <c r="B968" s="17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9" t="n"/>
      <c r="L968" s="19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7" t="n"/>
      <c r="V968" s="18" t="n"/>
      <c r="W968" s="20">
        <f>IF(U968="","",U968+Summary!$C$4)</f>
        <v/>
      </c>
      <c r="X968" s="16">
        <f>IF(OR(U968="",Y968="Removed",Y968="Deindexed only",Y968="No action needed"),"",TODAY()-U968)</f>
        <v/>
      </c>
      <c r="Y968" s="18" t="n"/>
      <c r="Z968" s="17" t="n"/>
      <c r="AA968" s="18" t="n"/>
      <c r="AB968" s="19" t="n"/>
    </row>
    <row r="969">
      <c r="A969" s="16">
        <f>IF(C969="","",ROW()-1)</f>
        <v/>
      </c>
      <c r="B969" s="17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9" t="n"/>
      <c r="L969" s="19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7" t="n"/>
      <c r="V969" s="18" t="n"/>
      <c r="W969" s="20">
        <f>IF(U969="","",U969+Summary!$C$4)</f>
        <v/>
      </c>
      <c r="X969" s="16">
        <f>IF(OR(U969="",Y969="Removed",Y969="Deindexed only",Y969="No action needed"),"",TODAY()-U969)</f>
        <v/>
      </c>
      <c r="Y969" s="18" t="n"/>
      <c r="Z969" s="17" t="n"/>
      <c r="AA969" s="18" t="n"/>
      <c r="AB969" s="19" t="n"/>
    </row>
    <row r="970">
      <c r="A970" s="16">
        <f>IF(C970="","",ROW()-1)</f>
        <v/>
      </c>
      <c r="B970" s="17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9" t="n"/>
      <c r="L970" s="19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7" t="n"/>
      <c r="V970" s="18" t="n"/>
      <c r="W970" s="20">
        <f>IF(U970="","",U970+Summary!$C$4)</f>
        <v/>
      </c>
      <c r="X970" s="16">
        <f>IF(OR(U970="",Y970="Removed",Y970="Deindexed only",Y970="No action needed"),"",TODAY()-U970)</f>
        <v/>
      </c>
      <c r="Y970" s="18" t="n"/>
      <c r="Z970" s="17" t="n"/>
      <c r="AA970" s="18" t="n"/>
      <c r="AB970" s="19" t="n"/>
    </row>
    <row r="971">
      <c r="A971" s="16">
        <f>IF(C971="","",ROW()-1)</f>
        <v/>
      </c>
      <c r="B971" s="17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9" t="n"/>
      <c r="L971" s="19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7" t="n"/>
      <c r="V971" s="18" t="n"/>
      <c r="W971" s="20">
        <f>IF(U971="","",U971+Summary!$C$4)</f>
        <v/>
      </c>
      <c r="X971" s="16">
        <f>IF(OR(U971="",Y971="Removed",Y971="Deindexed only",Y971="No action needed"),"",TODAY()-U971)</f>
        <v/>
      </c>
      <c r="Y971" s="18" t="n"/>
      <c r="Z971" s="17" t="n"/>
      <c r="AA971" s="18" t="n"/>
      <c r="AB971" s="19" t="n"/>
    </row>
    <row r="972">
      <c r="A972" s="16">
        <f>IF(C972="","",ROW()-1)</f>
        <v/>
      </c>
      <c r="B972" s="17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9" t="n"/>
      <c r="L972" s="19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7" t="n"/>
      <c r="V972" s="18" t="n"/>
      <c r="W972" s="20">
        <f>IF(U972="","",U972+Summary!$C$4)</f>
        <v/>
      </c>
      <c r="X972" s="16">
        <f>IF(OR(U972="",Y972="Removed",Y972="Deindexed only",Y972="No action needed"),"",TODAY()-U972)</f>
        <v/>
      </c>
      <c r="Y972" s="18" t="n"/>
      <c r="Z972" s="17" t="n"/>
      <c r="AA972" s="18" t="n"/>
      <c r="AB972" s="19" t="n"/>
    </row>
    <row r="973">
      <c r="A973" s="16">
        <f>IF(C973="","",ROW()-1)</f>
        <v/>
      </c>
      <c r="B973" s="17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9" t="n"/>
      <c r="L973" s="19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7" t="n"/>
      <c r="V973" s="18" t="n"/>
      <c r="W973" s="20">
        <f>IF(U973="","",U973+Summary!$C$4)</f>
        <v/>
      </c>
      <c r="X973" s="16">
        <f>IF(OR(U973="",Y973="Removed",Y973="Deindexed only",Y973="No action needed"),"",TODAY()-U973)</f>
        <v/>
      </c>
      <c r="Y973" s="18" t="n"/>
      <c r="Z973" s="17" t="n"/>
      <c r="AA973" s="18" t="n"/>
      <c r="AB973" s="19" t="n"/>
    </row>
    <row r="974">
      <c r="A974" s="16">
        <f>IF(C974="","",ROW()-1)</f>
        <v/>
      </c>
      <c r="B974" s="17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9" t="n"/>
      <c r="L974" s="19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7" t="n"/>
      <c r="V974" s="18" t="n"/>
      <c r="W974" s="20">
        <f>IF(U974="","",U974+Summary!$C$4)</f>
        <v/>
      </c>
      <c r="X974" s="16">
        <f>IF(OR(U974="",Y974="Removed",Y974="Deindexed only",Y974="No action needed"),"",TODAY()-U974)</f>
        <v/>
      </c>
      <c r="Y974" s="18" t="n"/>
      <c r="Z974" s="17" t="n"/>
      <c r="AA974" s="18" t="n"/>
      <c r="AB974" s="19" t="n"/>
    </row>
    <row r="975">
      <c r="A975" s="16">
        <f>IF(C975="","",ROW()-1)</f>
        <v/>
      </c>
      <c r="B975" s="17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9" t="n"/>
      <c r="L975" s="19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7" t="n"/>
      <c r="V975" s="18" t="n"/>
      <c r="W975" s="20">
        <f>IF(U975="","",U975+Summary!$C$4)</f>
        <v/>
      </c>
      <c r="X975" s="16">
        <f>IF(OR(U975="",Y975="Removed",Y975="Deindexed only",Y975="No action needed"),"",TODAY()-U975)</f>
        <v/>
      </c>
      <c r="Y975" s="18" t="n"/>
      <c r="Z975" s="17" t="n"/>
      <c r="AA975" s="18" t="n"/>
      <c r="AB975" s="19" t="n"/>
    </row>
    <row r="976">
      <c r="A976" s="16">
        <f>IF(C976="","",ROW()-1)</f>
        <v/>
      </c>
      <c r="B976" s="17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9" t="n"/>
      <c r="L976" s="19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7" t="n"/>
      <c r="V976" s="18" t="n"/>
      <c r="W976" s="20">
        <f>IF(U976="","",U976+Summary!$C$4)</f>
        <v/>
      </c>
      <c r="X976" s="16">
        <f>IF(OR(U976="",Y976="Removed",Y976="Deindexed only",Y976="No action needed"),"",TODAY()-U976)</f>
        <v/>
      </c>
      <c r="Y976" s="18" t="n"/>
      <c r="Z976" s="17" t="n"/>
      <c r="AA976" s="18" t="n"/>
      <c r="AB976" s="19" t="n"/>
    </row>
    <row r="977">
      <c r="A977" s="16">
        <f>IF(C977="","",ROW()-1)</f>
        <v/>
      </c>
      <c r="B977" s="17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9" t="n"/>
      <c r="L977" s="19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7" t="n"/>
      <c r="V977" s="18" t="n"/>
      <c r="W977" s="20">
        <f>IF(U977="","",U977+Summary!$C$4)</f>
        <v/>
      </c>
      <c r="X977" s="16">
        <f>IF(OR(U977="",Y977="Removed",Y977="Deindexed only",Y977="No action needed"),"",TODAY()-U977)</f>
        <v/>
      </c>
      <c r="Y977" s="18" t="n"/>
      <c r="Z977" s="17" t="n"/>
      <c r="AA977" s="18" t="n"/>
      <c r="AB977" s="19" t="n"/>
    </row>
    <row r="978">
      <c r="A978" s="16">
        <f>IF(C978="","",ROW()-1)</f>
        <v/>
      </c>
      <c r="B978" s="17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9" t="n"/>
      <c r="L978" s="19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7" t="n"/>
      <c r="V978" s="18" t="n"/>
      <c r="W978" s="20">
        <f>IF(U978="","",U978+Summary!$C$4)</f>
        <v/>
      </c>
      <c r="X978" s="16">
        <f>IF(OR(U978="",Y978="Removed",Y978="Deindexed only",Y978="No action needed"),"",TODAY()-U978)</f>
        <v/>
      </c>
      <c r="Y978" s="18" t="n"/>
      <c r="Z978" s="17" t="n"/>
      <c r="AA978" s="18" t="n"/>
      <c r="AB978" s="19" t="n"/>
    </row>
    <row r="979">
      <c r="A979" s="16">
        <f>IF(C979="","",ROW()-1)</f>
        <v/>
      </c>
      <c r="B979" s="17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9" t="n"/>
      <c r="L979" s="19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7" t="n"/>
      <c r="V979" s="18" t="n"/>
      <c r="W979" s="20">
        <f>IF(U979="","",U979+Summary!$C$4)</f>
        <v/>
      </c>
      <c r="X979" s="16">
        <f>IF(OR(U979="",Y979="Removed",Y979="Deindexed only",Y979="No action needed"),"",TODAY()-U979)</f>
        <v/>
      </c>
      <c r="Y979" s="18" t="n"/>
      <c r="Z979" s="17" t="n"/>
      <c r="AA979" s="18" t="n"/>
      <c r="AB979" s="19" t="n"/>
    </row>
    <row r="980">
      <c r="A980" s="16">
        <f>IF(C980="","",ROW()-1)</f>
        <v/>
      </c>
      <c r="B980" s="17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9" t="n"/>
      <c r="L980" s="19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7" t="n"/>
      <c r="V980" s="18" t="n"/>
      <c r="W980" s="20">
        <f>IF(U980="","",U980+Summary!$C$4)</f>
        <v/>
      </c>
      <c r="X980" s="16">
        <f>IF(OR(U980="",Y980="Removed",Y980="Deindexed only",Y980="No action needed"),"",TODAY()-U980)</f>
        <v/>
      </c>
      <c r="Y980" s="18" t="n"/>
      <c r="Z980" s="17" t="n"/>
      <c r="AA980" s="18" t="n"/>
      <c r="AB980" s="19" t="n"/>
    </row>
    <row r="981">
      <c r="A981" s="16">
        <f>IF(C981="","",ROW()-1)</f>
        <v/>
      </c>
      <c r="B981" s="17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9" t="n"/>
      <c r="L981" s="19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7" t="n"/>
      <c r="V981" s="18" t="n"/>
      <c r="W981" s="20">
        <f>IF(U981="","",U981+Summary!$C$4)</f>
        <v/>
      </c>
      <c r="X981" s="16">
        <f>IF(OR(U981="",Y981="Removed",Y981="Deindexed only",Y981="No action needed"),"",TODAY()-U981)</f>
        <v/>
      </c>
      <c r="Y981" s="18" t="n"/>
      <c r="Z981" s="17" t="n"/>
      <c r="AA981" s="18" t="n"/>
      <c r="AB981" s="19" t="n"/>
    </row>
    <row r="982">
      <c r="A982" s="16">
        <f>IF(C982="","",ROW()-1)</f>
        <v/>
      </c>
      <c r="B982" s="17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9" t="n"/>
      <c r="L982" s="19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7" t="n"/>
      <c r="V982" s="18" t="n"/>
      <c r="W982" s="20">
        <f>IF(U982="","",U982+Summary!$C$4)</f>
        <v/>
      </c>
      <c r="X982" s="16">
        <f>IF(OR(U982="",Y982="Removed",Y982="Deindexed only",Y982="No action needed"),"",TODAY()-U982)</f>
        <v/>
      </c>
      <c r="Y982" s="18" t="n"/>
      <c r="Z982" s="17" t="n"/>
      <c r="AA982" s="18" t="n"/>
      <c r="AB982" s="19" t="n"/>
    </row>
    <row r="983">
      <c r="A983" s="16">
        <f>IF(C983="","",ROW()-1)</f>
        <v/>
      </c>
      <c r="B983" s="17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9" t="n"/>
      <c r="L983" s="19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7" t="n"/>
      <c r="V983" s="18" t="n"/>
      <c r="W983" s="20">
        <f>IF(U983="","",U983+Summary!$C$4)</f>
        <v/>
      </c>
      <c r="X983" s="16">
        <f>IF(OR(U983="",Y983="Removed",Y983="Deindexed only",Y983="No action needed"),"",TODAY()-U983)</f>
        <v/>
      </c>
      <c r="Y983" s="18" t="n"/>
      <c r="Z983" s="17" t="n"/>
      <c r="AA983" s="18" t="n"/>
      <c r="AB983" s="19" t="n"/>
    </row>
    <row r="984">
      <c r="A984" s="16">
        <f>IF(C984="","",ROW()-1)</f>
        <v/>
      </c>
      <c r="B984" s="17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9" t="n"/>
      <c r="L984" s="19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7" t="n"/>
      <c r="V984" s="18" t="n"/>
      <c r="W984" s="20">
        <f>IF(U984="","",U984+Summary!$C$4)</f>
        <v/>
      </c>
      <c r="X984" s="16">
        <f>IF(OR(U984="",Y984="Removed",Y984="Deindexed only",Y984="No action needed"),"",TODAY()-U984)</f>
        <v/>
      </c>
      <c r="Y984" s="18" t="n"/>
      <c r="Z984" s="17" t="n"/>
      <c r="AA984" s="18" t="n"/>
      <c r="AB984" s="19" t="n"/>
    </row>
    <row r="985">
      <c r="A985" s="16">
        <f>IF(C985="","",ROW()-1)</f>
        <v/>
      </c>
      <c r="B985" s="17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9" t="n"/>
      <c r="L985" s="19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7" t="n"/>
      <c r="V985" s="18" t="n"/>
      <c r="W985" s="20">
        <f>IF(U985="","",U985+Summary!$C$4)</f>
        <v/>
      </c>
      <c r="X985" s="16">
        <f>IF(OR(U985="",Y985="Removed",Y985="Deindexed only",Y985="No action needed"),"",TODAY()-U985)</f>
        <v/>
      </c>
      <c r="Y985" s="18" t="n"/>
      <c r="Z985" s="17" t="n"/>
      <c r="AA985" s="18" t="n"/>
      <c r="AB985" s="19" t="n"/>
    </row>
    <row r="986">
      <c r="A986" s="16">
        <f>IF(C986="","",ROW()-1)</f>
        <v/>
      </c>
      <c r="B986" s="17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9" t="n"/>
      <c r="L986" s="19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7" t="n"/>
      <c r="V986" s="18" t="n"/>
      <c r="W986" s="20">
        <f>IF(U986="","",U986+Summary!$C$4)</f>
        <v/>
      </c>
      <c r="X986" s="16">
        <f>IF(OR(U986="",Y986="Removed",Y986="Deindexed only",Y986="No action needed"),"",TODAY()-U986)</f>
        <v/>
      </c>
      <c r="Y986" s="18" t="n"/>
      <c r="Z986" s="17" t="n"/>
      <c r="AA986" s="18" t="n"/>
      <c r="AB986" s="19" t="n"/>
    </row>
    <row r="987">
      <c r="A987" s="16">
        <f>IF(C987="","",ROW()-1)</f>
        <v/>
      </c>
      <c r="B987" s="17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9" t="n"/>
      <c r="L987" s="19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7" t="n"/>
      <c r="V987" s="18" t="n"/>
      <c r="W987" s="20">
        <f>IF(U987="","",U987+Summary!$C$4)</f>
        <v/>
      </c>
      <c r="X987" s="16">
        <f>IF(OR(U987="",Y987="Removed",Y987="Deindexed only",Y987="No action needed"),"",TODAY()-U987)</f>
        <v/>
      </c>
      <c r="Y987" s="18" t="n"/>
      <c r="Z987" s="17" t="n"/>
      <c r="AA987" s="18" t="n"/>
      <c r="AB987" s="19" t="n"/>
    </row>
    <row r="988">
      <c r="A988" s="16">
        <f>IF(C988="","",ROW()-1)</f>
        <v/>
      </c>
      <c r="B988" s="17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9" t="n"/>
      <c r="L988" s="19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7" t="n"/>
      <c r="V988" s="18" t="n"/>
      <c r="W988" s="20">
        <f>IF(U988="","",U988+Summary!$C$4)</f>
        <v/>
      </c>
      <c r="X988" s="16">
        <f>IF(OR(U988="",Y988="Removed",Y988="Deindexed only",Y988="No action needed"),"",TODAY()-U988)</f>
        <v/>
      </c>
      <c r="Y988" s="18" t="n"/>
      <c r="Z988" s="17" t="n"/>
      <c r="AA988" s="18" t="n"/>
      <c r="AB988" s="19" t="n"/>
    </row>
    <row r="989">
      <c r="A989" s="16">
        <f>IF(C989="","",ROW()-1)</f>
        <v/>
      </c>
      <c r="B989" s="17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9" t="n"/>
      <c r="L989" s="19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7" t="n"/>
      <c r="V989" s="18" t="n"/>
      <c r="W989" s="20">
        <f>IF(U989="","",U989+Summary!$C$4)</f>
        <v/>
      </c>
      <c r="X989" s="16">
        <f>IF(OR(U989="",Y989="Removed",Y989="Deindexed only",Y989="No action needed"),"",TODAY()-U989)</f>
        <v/>
      </c>
      <c r="Y989" s="18" t="n"/>
      <c r="Z989" s="17" t="n"/>
      <c r="AA989" s="18" t="n"/>
      <c r="AB989" s="19" t="n"/>
    </row>
    <row r="990">
      <c r="A990" s="16">
        <f>IF(C990="","",ROW()-1)</f>
        <v/>
      </c>
      <c r="B990" s="17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9" t="n"/>
      <c r="L990" s="19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7" t="n"/>
      <c r="V990" s="18" t="n"/>
      <c r="W990" s="20">
        <f>IF(U990="","",U990+Summary!$C$4)</f>
        <v/>
      </c>
      <c r="X990" s="16">
        <f>IF(OR(U990="",Y990="Removed",Y990="Deindexed only",Y990="No action needed"),"",TODAY()-U990)</f>
        <v/>
      </c>
      <c r="Y990" s="18" t="n"/>
      <c r="Z990" s="17" t="n"/>
      <c r="AA990" s="18" t="n"/>
      <c r="AB990" s="19" t="n"/>
    </row>
    <row r="991">
      <c r="A991" s="16">
        <f>IF(C991="","",ROW()-1)</f>
        <v/>
      </c>
      <c r="B991" s="17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9" t="n"/>
      <c r="L991" s="19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7" t="n"/>
      <c r="V991" s="18" t="n"/>
      <c r="W991" s="20">
        <f>IF(U991="","",U991+Summary!$C$4)</f>
        <v/>
      </c>
      <c r="X991" s="16">
        <f>IF(OR(U991="",Y991="Removed",Y991="Deindexed only",Y991="No action needed"),"",TODAY()-U991)</f>
        <v/>
      </c>
      <c r="Y991" s="18" t="n"/>
      <c r="Z991" s="17" t="n"/>
      <c r="AA991" s="18" t="n"/>
      <c r="AB991" s="19" t="n"/>
    </row>
    <row r="992">
      <c r="A992" s="16">
        <f>IF(C992="","",ROW()-1)</f>
        <v/>
      </c>
      <c r="B992" s="17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9" t="n"/>
      <c r="L992" s="19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7" t="n"/>
      <c r="V992" s="18" t="n"/>
      <c r="W992" s="20">
        <f>IF(U992="","",U992+Summary!$C$4)</f>
        <v/>
      </c>
      <c r="X992" s="16">
        <f>IF(OR(U992="",Y992="Removed",Y992="Deindexed only",Y992="No action needed"),"",TODAY()-U992)</f>
        <v/>
      </c>
      <c r="Y992" s="18" t="n"/>
      <c r="Z992" s="17" t="n"/>
      <c r="AA992" s="18" t="n"/>
      <c r="AB992" s="19" t="n"/>
    </row>
    <row r="993">
      <c r="A993" s="16">
        <f>IF(C993="","",ROW()-1)</f>
        <v/>
      </c>
      <c r="B993" s="17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9" t="n"/>
      <c r="L993" s="19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7" t="n"/>
      <c r="V993" s="18" t="n"/>
      <c r="W993" s="20">
        <f>IF(U993="","",U993+Summary!$C$4)</f>
        <v/>
      </c>
      <c r="X993" s="16">
        <f>IF(OR(U993="",Y993="Removed",Y993="Deindexed only",Y993="No action needed"),"",TODAY()-U993)</f>
        <v/>
      </c>
      <c r="Y993" s="18" t="n"/>
      <c r="Z993" s="17" t="n"/>
      <c r="AA993" s="18" t="n"/>
      <c r="AB993" s="19" t="n"/>
    </row>
    <row r="994">
      <c r="A994" s="16">
        <f>IF(C994="","",ROW()-1)</f>
        <v/>
      </c>
      <c r="B994" s="17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9" t="n"/>
      <c r="L994" s="19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7" t="n"/>
      <c r="V994" s="18" t="n"/>
      <c r="W994" s="20">
        <f>IF(U994="","",U994+Summary!$C$4)</f>
        <v/>
      </c>
      <c r="X994" s="16">
        <f>IF(OR(U994="",Y994="Removed",Y994="Deindexed only",Y994="No action needed"),"",TODAY()-U994)</f>
        <v/>
      </c>
      <c r="Y994" s="18" t="n"/>
      <c r="Z994" s="17" t="n"/>
      <c r="AA994" s="18" t="n"/>
      <c r="AB994" s="19" t="n"/>
    </row>
    <row r="995">
      <c r="A995" s="16">
        <f>IF(C995="","",ROW()-1)</f>
        <v/>
      </c>
      <c r="B995" s="17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9" t="n"/>
      <c r="L995" s="19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7" t="n"/>
      <c r="V995" s="18" t="n"/>
      <c r="W995" s="20">
        <f>IF(U995="","",U995+Summary!$C$4)</f>
        <v/>
      </c>
      <c r="X995" s="16">
        <f>IF(OR(U995="",Y995="Removed",Y995="Deindexed only",Y995="No action needed"),"",TODAY()-U995)</f>
        <v/>
      </c>
      <c r="Y995" s="18" t="n"/>
      <c r="Z995" s="17" t="n"/>
      <c r="AA995" s="18" t="n"/>
      <c r="AB995" s="19" t="n"/>
    </row>
    <row r="996">
      <c r="A996" s="16">
        <f>IF(C996="","",ROW()-1)</f>
        <v/>
      </c>
      <c r="B996" s="17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9" t="n"/>
      <c r="L996" s="19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7" t="n"/>
      <c r="V996" s="18" t="n"/>
      <c r="W996" s="20">
        <f>IF(U996="","",U996+Summary!$C$4)</f>
        <v/>
      </c>
      <c r="X996" s="16">
        <f>IF(OR(U996="",Y996="Removed",Y996="Deindexed only",Y996="No action needed"),"",TODAY()-U996)</f>
        <v/>
      </c>
      <c r="Y996" s="18" t="n"/>
      <c r="Z996" s="17" t="n"/>
      <c r="AA996" s="18" t="n"/>
      <c r="AB996" s="19" t="n"/>
    </row>
    <row r="997">
      <c r="A997" s="16">
        <f>IF(C997="","",ROW()-1)</f>
        <v/>
      </c>
      <c r="B997" s="17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9" t="n"/>
      <c r="L997" s="19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7" t="n"/>
      <c r="V997" s="18" t="n"/>
      <c r="W997" s="20">
        <f>IF(U997="","",U997+Summary!$C$4)</f>
        <v/>
      </c>
      <c r="X997" s="16">
        <f>IF(OR(U997="",Y997="Removed",Y997="Deindexed only",Y997="No action needed"),"",TODAY()-U997)</f>
        <v/>
      </c>
      <c r="Y997" s="18" t="n"/>
      <c r="Z997" s="17" t="n"/>
      <c r="AA997" s="18" t="n"/>
      <c r="AB997" s="19" t="n"/>
    </row>
    <row r="998">
      <c r="A998" s="16">
        <f>IF(C998="","",ROW()-1)</f>
        <v/>
      </c>
      <c r="B998" s="17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9" t="n"/>
      <c r="L998" s="19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7" t="n"/>
      <c r="V998" s="18" t="n"/>
      <c r="W998" s="20">
        <f>IF(U998="","",U998+Summary!$C$4)</f>
        <v/>
      </c>
      <c r="X998" s="16">
        <f>IF(OR(U998="",Y998="Removed",Y998="Deindexed only",Y998="No action needed"),"",TODAY()-U998)</f>
        <v/>
      </c>
      <c r="Y998" s="18" t="n"/>
      <c r="Z998" s="17" t="n"/>
      <c r="AA998" s="18" t="n"/>
      <c r="AB998" s="19" t="n"/>
    </row>
    <row r="999">
      <c r="A999" s="16">
        <f>IF(C999="","",ROW()-1)</f>
        <v/>
      </c>
      <c r="B999" s="17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9" t="n"/>
      <c r="L999" s="19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7" t="n"/>
      <c r="V999" s="18" t="n"/>
      <c r="W999" s="20">
        <f>IF(U999="","",U999+Summary!$C$4)</f>
        <v/>
      </c>
      <c r="X999" s="16">
        <f>IF(OR(U999="",Y999="Removed",Y999="Deindexed only",Y999="No action needed"),"",TODAY()-U999)</f>
        <v/>
      </c>
      <c r="Y999" s="18" t="n"/>
      <c r="Z999" s="17" t="n"/>
      <c r="AA999" s="18" t="n"/>
      <c r="AB999" s="19" t="n"/>
    </row>
    <row r="1000">
      <c r="A1000" s="16">
        <f>IF(C1000="","",ROW()-1)</f>
        <v/>
      </c>
      <c r="B1000" s="17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9" t="n"/>
      <c r="L1000" s="19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7" t="n"/>
      <c r="V1000" s="18" t="n"/>
      <c r="W1000" s="20">
        <f>IF(U1000="","",U1000+Summary!$C$4)</f>
        <v/>
      </c>
      <c r="X1000" s="16">
        <f>IF(OR(U1000="",Y1000="Removed",Y1000="Deindexed only",Y1000="No action needed"),"",TODAY()-U1000)</f>
        <v/>
      </c>
      <c r="Y1000" s="18" t="n"/>
      <c r="Z1000" s="17" t="n"/>
      <c r="AA1000" s="18" t="n"/>
      <c r="AB1000" s="19" t="n"/>
    </row>
  </sheetData>
  <autoFilter ref="A1:AB1000"/>
  <conditionalFormatting sqref="A2:AB1000">
    <cfRule type="expression" priority="14" dxfId="12">
      <formula>$H2="Namesake (not client)"</formula>
    </cfRule>
  </conditionalFormatting>
  <conditionalFormatting sqref="Q2:Q1000">
    <cfRule type="cellIs" priority="2" operator="equal" dxfId="11">
      <formula>"Critical"</formula>
    </cfRule>
    <cfRule type="cellIs" priority="3" operator="equal" dxfId="10">
      <formula>"High"</formula>
    </cfRule>
    <cfRule type="cellIs" priority="4" operator="equal" dxfId="9">
      <formula>"Medium"</formula>
    </cfRule>
    <cfRule type="cellIs" priority="5" operator="equal" dxfId="8">
      <formula>"Low"</formula>
    </cfRule>
  </conditionalFormatting>
  <conditionalFormatting sqref="W2:W1000">
    <cfRule type="expression" priority="13" dxfId="7">
      <formula>AND(W2&lt;&gt;"",W2&lt;TODAY(),X2&lt;&gt;"")</formula>
    </cfRule>
  </conditionalFormatting>
  <conditionalFormatting sqref="Y2:Y1000">
    <cfRule type="cellIs" priority="6" operator="equal" dxfId="6">
      <formula>"Removed"</formula>
    </cfRule>
    <cfRule type="cellIs" priority="7" operator="equal" dxfId="5">
      <formula>"Deindexed only"</formula>
    </cfRule>
    <cfRule type="cellIs" priority="8" operator="equal" dxfId="3">
      <formula>"Requested"</formula>
    </cfRule>
    <cfRule type="cellIs" priority="9" operator="equal" dxfId="3">
      <formula>"Pending / in review"</formula>
    </cfRule>
    <cfRule type="cellIs" priority="10" operator="equal" dxfId="2">
      <formula>"Refused"</formula>
    </cfRule>
    <cfRule type="cellIs" priority="11" operator="equal" dxfId="1">
      <formula>"Re-appeared"</formula>
    </cfRule>
    <cfRule type="cellIs" priority="12" operator="equal" dxfId="0">
      <formula>"No action needed"</formula>
    </cfRule>
  </conditionalFormatting>
  <dataValidations count="9">
    <dataValidation sqref="M2:N1000" showDropDown="0" showInputMessage="0" showErrorMessage="0" allowBlank="1" type="whole">
      <formula1>0</formula1>
      <formula2>10000</formula2>
    </dataValidation>
    <dataValidation sqref="B2:B1000 U2:U1000 Z2:Z1000" showDropDown="0" showInputMessage="0" showErrorMessage="0" allowBlank="1" type="date" operator="greaterThan">
      <formula1>36526</formula1>
      <formula2>0</formula2>
    </dataValidation>
    <dataValidation sqref="F2:F1000" showDropDown="0" showInputMessage="0" showErrorMessage="0" allowBlank="1" errorTitle="Invalid entry" error="Pick a value from the list (edit options on the Lists sheet)." type="list">
      <formula1>Lists!$A$2:$A$13</formula1>
    </dataValidation>
    <dataValidation sqref="H2:H1000" showDropDown="0" showInputMessage="0" showErrorMessage="0" allowBlank="1" errorTitle="Invalid entry" error="Pick a value from the list (edit options on the Lists sheet)." type="list">
      <formula1>Lists!$B$2:$B$5</formula1>
    </dataValidation>
    <dataValidation sqref="I2:I1000 O2:P1000" showDropDown="0" showInputMessage="0" showErrorMessage="0" allowBlank="1" errorTitle="Invalid entry" error="Pick a value from the list (edit options on the Lists sheet)." type="list">
      <formula1>Lists!$C$2:$C$4</formula1>
    </dataValidation>
    <dataValidation sqref="J2:J1000" showDropDown="0" showInputMessage="0" showErrorMessage="0" allowBlank="1" errorTitle="Invalid entry" error="Pick a value from the list (edit options on the Lists sheet)." type="list">
      <formula1>Lists!$D$2:$D$9</formula1>
    </dataValidation>
    <dataValidation sqref="Q2:Q1000" showDropDown="0" showInputMessage="0" showErrorMessage="0" allowBlank="1" errorTitle="Invalid entry" error="Pick a value from the list (edit options on the Lists sheet)." type="list">
      <formula1>Lists!$E$2:$E$5</formula1>
    </dataValidation>
    <dataValidation sqref="R2:R1000" showDropDown="0" showInputMessage="0" showErrorMessage="0" allowBlank="1" errorTitle="Invalid entry" error="Pick a value from the list (edit options on the Lists sheet)." type="list">
      <formula1>Lists!$F$2:$F$13</formula1>
    </dataValidation>
    <dataValidation sqref="Y2:Y1000" showDropDown="0" showInputMessage="0" showErrorMessage="0" allowBlank="1" errorTitle="Invalid entry" error="Pick a value from the list (edit options on the Lists sheet)." type="list">
      <formula1>Lists!$G$2:$G$10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Normal="100" workbookViewId="0">
      <selection activeCell="A1" sqref="A1"/>
    </sheetView>
  </sheetViews>
  <sheetFormatPr baseColWidth="8" defaultColWidth="8.7109375" defaultRowHeight="15"/>
  <cols>
    <col width="29" customWidth="1" min="1" max="1"/>
    <col width="23" customWidth="1" min="2" max="2"/>
    <col width="22" customWidth="1" min="3" max="5"/>
    <col width="49" customWidth="1" min="6" max="6"/>
    <col width="23" customWidth="1" min="7" max="7"/>
  </cols>
  <sheetData>
    <row r="1">
      <c r="A1" s="7" t="inlineStr">
        <is>
          <t>Site Category</t>
        </is>
      </c>
      <c r="B1" s="7" t="inlineStr">
        <is>
          <t>Match Confidence</t>
        </is>
      </c>
      <c r="C1" s="7" t="inlineStr">
        <is>
          <t>Yes/No</t>
        </is>
      </c>
      <c r="D1" s="7" t="inlineStr">
        <is>
          <t>Content Type</t>
        </is>
      </c>
      <c r="E1" s="7" t="inlineStr">
        <is>
          <t>Severity</t>
        </is>
      </c>
      <c r="F1" s="7" t="inlineStr">
        <is>
          <t>Removal Method</t>
        </is>
      </c>
      <c r="G1" s="7" t="inlineStr">
        <is>
          <t>Status</t>
        </is>
      </c>
    </row>
    <row r="2">
      <c r="A2" s="22" t="inlineStr">
        <is>
          <t>Data broker / people search</t>
        </is>
      </c>
      <c r="B2" s="22" t="inlineStr">
        <is>
          <t>Confirmed</t>
        </is>
      </c>
      <c r="C2" s="22" t="inlineStr">
        <is>
          <t>Yes</t>
        </is>
      </c>
      <c r="D2" s="22" t="inlineStr">
        <is>
          <t>Text</t>
        </is>
      </c>
      <c r="E2" s="22" t="inlineStr">
        <is>
          <t>Critical</t>
        </is>
      </c>
      <c r="F2" s="22" t="inlineStr">
        <is>
          <t>Client deletes own account</t>
        </is>
      </c>
      <c r="G2" s="22" t="inlineStr">
        <is>
          <t>Not started</t>
        </is>
      </c>
    </row>
    <row r="3">
      <c r="A3" s="22" t="inlineStr">
        <is>
          <t>News / media</t>
        </is>
      </c>
      <c r="B3" s="22" t="inlineStr">
        <is>
          <t>Likely</t>
        </is>
      </c>
      <c r="C3" s="22" t="inlineStr">
        <is>
          <t>No</t>
        </is>
      </c>
      <c r="D3" s="22" t="inlineStr">
        <is>
          <t>Image</t>
        </is>
      </c>
      <c r="E3" s="22" t="inlineStr">
        <is>
          <t>High</t>
        </is>
      </c>
      <c r="F3" s="22" t="inlineStr">
        <is>
          <t>Site opt-out form</t>
        </is>
      </c>
      <c r="G3" s="22" t="inlineStr">
        <is>
          <t>Awaiting client input</t>
        </is>
      </c>
    </row>
    <row r="4">
      <c r="A4" s="22" t="inlineStr">
        <is>
          <t>Social media</t>
        </is>
      </c>
      <c r="B4" s="22" t="inlineStr">
        <is>
          <t>Unverified</t>
        </is>
      </c>
      <c r="C4" s="22" t="inlineStr">
        <is>
          <t>Unknown</t>
        </is>
      </c>
      <c r="D4" s="22" t="inlineStr">
        <is>
          <t>Video</t>
        </is>
      </c>
      <c r="E4" s="22" t="inlineStr">
        <is>
          <t>Medium</t>
        </is>
      </c>
      <c r="F4" s="22" t="inlineStr">
        <is>
          <t>Direct request to site owner</t>
        </is>
      </c>
      <c r="G4" s="22" t="inlineStr">
        <is>
          <t>Requested</t>
        </is>
      </c>
    </row>
    <row r="5">
      <c r="A5" s="22" t="inlineStr">
        <is>
          <t>Forum / community</t>
        </is>
      </c>
      <c r="B5" s="22" t="inlineStr">
        <is>
          <t>Namesake (not client)</t>
        </is>
      </c>
      <c r="D5" s="22" t="inlineStr">
        <is>
          <t>PDF / document</t>
        </is>
      </c>
      <c r="E5" s="22" t="inlineStr">
        <is>
          <t>Low</t>
        </is>
      </c>
      <c r="F5" s="22" t="inlineStr">
        <is>
          <t>KVKK request (Law 6698)</t>
        </is>
      </c>
      <c r="G5" s="22" t="inlineStr">
        <is>
          <t>Pending / in review</t>
        </is>
      </c>
    </row>
    <row r="6">
      <c r="A6" s="22" t="inlineStr">
        <is>
          <t>Blog</t>
        </is>
      </c>
      <c r="D6" s="22" t="inlineStr">
        <is>
          <t>Profile page</t>
        </is>
      </c>
      <c r="F6" s="22" t="inlineStr">
        <is>
          <t>GDPR Art. 17 erasure request</t>
        </is>
      </c>
      <c r="G6" s="22" t="inlineStr">
        <is>
          <t>Removed</t>
        </is>
      </c>
    </row>
    <row r="7">
      <c r="A7" s="22" t="inlineStr">
        <is>
          <t>Business directory</t>
        </is>
      </c>
      <c r="D7" s="22" t="inlineStr">
        <is>
          <t>Listing</t>
        </is>
      </c>
      <c r="F7" s="22" t="inlineStr">
        <is>
          <t>Google 'Results about you' / personal info form</t>
        </is>
      </c>
      <c r="G7" s="22" t="inlineStr">
        <is>
          <t>Deindexed only</t>
        </is>
      </c>
    </row>
    <row r="8">
      <c r="A8" s="22" t="inlineStr">
        <is>
          <t>Government / court record</t>
        </is>
      </c>
      <c r="D8" s="22" t="inlineStr">
        <is>
          <t>Comment</t>
        </is>
      </c>
      <c r="F8" s="22" t="inlineStr">
        <is>
          <t>Google Outdated Content tool</t>
        </is>
      </c>
      <c r="G8" s="22" t="inlineStr">
        <is>
          <t>Refused</t>
        </is>
      </c>
    </row>
    <row r="9">
      <c r="A9" s="22" t="inlineStr">
        <is>
          <t>Professional network</t>
        </is>
      </c>
      <c r="D9" s="22" t="inlineStr">
        <is>
          <t>Cached copy</t>
        </is>
      </c>
      <c r="F9" s="22" t="inlineStr">
        <is>
          <t>Court application (Law 5651)</t>
        </is>
      </c>
      <c r="G9" s="22" t="inlineStr">
        <is>
          <t>Re-appeared</t>
        </is>
      </c>
    </row>
    <row r="10">
      <c r="A10" s="22" t="inlineStr">
        <is>
          <t>Image / video host</t>
        </is>
      </c>
      <c r="F10" s="22" t="inlineStr">
        <is>
          <t>Lawyer / legal notice</t>
        </is>
      </c>
      <c r="G10" s="22" t="inlineStr">
        <is>
          <t>No action needed</t>
        </is>
      </c>
    </row>
    <row r="11">
      <c r="A11" s="22" t="inlineStr">
        <is>
          <t>Archive / cache</t>
        </is>
      </c>
      <c r="F11" s="22" t="inlineStr">
        <is>
          <t>Hosting provider abuse report</t>
        </is>
      </c>
    </row>
    <row r="12">
      <c r="A12" s="22" t="inlineStr">
        <is>
          <t>Review site</t>
        </is>
      </c>
      <c r="F12" s="22" t="inlineStr">
        <is>
          <t>No action (namesake / low value)</t>
        </is>
      </c>
    </row>
    <row r="13">
      <c r="A13" s="22" t="inlineStr">
        <is>
          <t>Other</t>
        </is>
      </c>
      <c r="F13" s="22" t="inlineStr">
        <is>
          <t>Other</t>
        </is>
      </c>
    </row>
    <row r="15">
      <c r="A15" s="6" t="inlineStr">
        <is>
          <t>Edit these lists to change dropdown options. Add new items directly below the last item in a column and extend the named range if needed.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2026-09-29T08:46:35Z</dcterms:created>
  <dcterms:modified xmlns:dcterms="http://purl.org/dc/terms/" xmlns:xsi="http://www.w3.org/2001/XMLSchema-instance" xsi:type="dcterms:W3CDTF">2026-09-29T10:43:13Z</dcterms:modified>
  <cp:lastModifiedBy>Onur Bilginoglu</cp:lastModifiedBy>
  <cp:revision>0</cp:revision>
</cp:coreProperties>
</file>